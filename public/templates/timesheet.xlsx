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d650496ca0cb8cb/デスクトップ/"/>
    </mc:Choice>
  </mc:AlternateContent>
  <xr:revisionPtr revIDLastSave="259" documentId="8_{49CE2160-3E70-4F11-97E0-651961563D95}" xr6:coauthVersionLast="47" xr6:coauthVersionMax="47" xr10:uidLastSave="{54AFF083-F370-4522-8763-437EB69CE81B}"/>
  <bookViews>
    <workbookView xWindow="34080" yWindow="2070" windowWidth="16020" windowHeight="12750" activeTab="2" xr2:uid="{00000000-000D-0000-FFFF-FFFF00000000}"/>
  </bookViews>
  <sheets>
    <sheet name="原本_コピーして使用" sheetId="9" r:id="rId1"/>
    <sheet name="記入例" sheetId="3" r:id="rId2"/>
    <sheet name="作業報告書_4月度" sheetId="8" r:id="rId3"/>
    <sheet name="休日" sheetId="5" r:id="rId4"/>
  </sheets>
  <definedNames>
    <definedName name="Z_048AB57F_E1E1_41E9_9B99_92F1C4758322_.wvu.PrintArea" localSheetId="1">記入例!$A$1:$J$52</definedName>
    <definedName name="Z_048AB57F_E1E1_41E9_9B99_92F1C4758322_.wvu.PrintArea" localSheetId="0">原本_コピーして使用!$A$1:$J$52</definedName>
    <definedName name="Z_048AB57F_E1E1_41E9_9B99_92F1C4758322_.wvu.PrintArea" localSheetId="2">作業報告書_4月度!$A$1:$J$52</definedName>
    <definedName name="Z_294445C2_7D40_44E5_AADD_F3485C826AA5_.wvu.PrintArea" localSheetId="1">記入例!$A$1:$J$52</definedName>
    <definedName name="Z_294445C2_7D40_44E5_AADD_F3485C826AA5_.wvu.PrintArea" localSheetId="0">原本_コピーして使用!$A$1:$J$52</definedName>
    <definedName name="Z_294445C2_7D40_44E5_AADD_F3485C826AA5_.wvu.PrintArea" localSheetId="2">作業報告書_4月度!$A$1:$J$52</definedName>
    <definedName name="Z_54912BE1_3F15_4054_B1E9_40F514BC45C4_.wvu.PrintArea" localSheetId="1">記入例!$A$1:$J$52</definedName>
    <definedName name="Z_54912BE1_3F15_4054_B1E9_40F514BC45C4_.wvu.PrintArea" localSheetId="0">原本_コピーして使用!$A$1:$J$52</definedName>
    <definedName name="Z_54912BE1_3F15_4054_B1E9_40F514BC45C4_.wvu.PrintArea" localSheetId="2">作業報告書_4月度!$A$1:$J$52</definedName>
    <definedName name="Z_57B64D90_376F_43C6_9ACE_ECF80F74D4A7_.wvu.PrintArea" localSheetId="1">記入例!$A$1:$J$52</definedName>
    <definedName name="Z_57B64D90_376F_43C6_9ACE_ECF80F74D4A7_.wvu.PrintArea" localSheetId="0">原本_コピーして使用!$A$1:$J$52</definedName>
    <definedName name="Z_57B64D90_376F_43C6_9ACE_ECF80F74D4A7_.wvu.PrintArea" localSheetId="2">作業報告書_4月度!$A$1:$J$52</definedName>
    <definedName name="Z_5C2591B1_BBB1_4B22_AFE9_8CEDB703118D_.wvu.PrintArea" localSheetId="1">記入例!$A$1:$J$52</definedName>
    <definedName name="Z_5C2591B1_BBB1_4B22_AFE9_8CEDB703118D_.wvu.PrintArea" localSheetId="0">原本_コピーして使用!$A$1:$J$52</definedName>
    <definedName name="Z_5C2591B1_BBB1_4B22_AFE9_8CEDB703118D_.wvu.PrintArea" localSheetId="2">作業報告書_4月度!$A$1:$J$52</definedName>
    <definedName name="Z_691297F4_F9DF_429F_ABA3_2A3C76D272F2_.wvu.PrintArea" localSheetId="1">記入例!$A$1:$J$52</definedName>
    <definedName name="Z_691297F4_F9DF_429F_ABA3_2A3C76D272F2_.wvu.PrintArea" localSheetId="0">原本_コピーして使用!$A$1:$J$52</definedName>
    <definedName name="Z_691297F4_F9DF_429F_ABA3_2A3C76D272F2_.wvu.PrintArea" localSheetId="2">作業報告書_4月度!$A$1:$J$52</definedName>
    <definedName name="Z_88240138_76DD_4361_A3CB_47EAFCB84DB4_.wvu.PrintArea" localSheetId="1">記入例!$A$1:$J$52</definedName>
    <definedName name="Z_88240138_76DD_4361_A3CB_47EAFCB84DB4_.wvu.PrintArea" localSheetId="0">原本_コピーして使用!$A$1:$J$52</definedName>
    <definedName name="Z_88240138_76DD_4361_A3CB_47EAFCB84DB4_.wvu.PrintArea" localSheetId="2">作業報告書_4月度!$A$1:$J$52</definedName>
    <definedName name="Z_9EF46FAE_E0C2_4DF7_AF5F_D8816540344F_.wvu.PrintArea" localSheetId="1">記入例!$A$1:$J$52</definedName>
    <definedName name="Z_9EF46FAE_E0C2_4DF7_AF5F_D8816540344F_.wvu.PrintArea" localSheetId="0">原本_コピーして使用!$A$1:$J$52</definedName>
    <definedName name="Z_9EF46FAE_E0C2_4DF7_AF5F_D8816540344F_.wvu.PrintArea" localSheetId="2">作業報告書_4月度!$A$1:$J$52</definedName>
    <definedName name="Z_CB28E8C4_C2A5_4046_BDAC_2A3E8E88B286_.wvu.PrintArea" localSheetId="1">記入例!$A$1:$J$52</definedName>
    <definedName name="Z_CB28E8C4_C2A5_4046_BDAC_2A3E8E88B286_.wvu.PrintArea" localSheetId="0">原本_コピーして使用!$A$1:$J$52</definedName>
    <definedName name="Z_CB28E8C4_C2A5_4046_BDAC_2A3E8E88B286_.wvu.PrintArea" localSheetId="2">作業報告書_4月度!$A$1:$J$52</definedName>
    <definedName name="Z_EB74BBFE_ECBA_4A3E_B663_A6CD143EF60A_.wvu.PrintArea" localSheetId="1">記入例!$A$1:$J$52</definedName>
    <definedName name="Z_EB74BBFE_ECBA_4A3E_B663_A6CD143EF60A_.wvu.PrintArea" localSheetId="0">原本_コピーして使用!$A$1:$J$52</definedName>
    <definedName name="Z_EB74BBFE_ECBA_4A3E_B663_A6CD143EF60A_.wvu.PrintArea" localSheetId="2">作業報告書_4月度!$A$1:$J$52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9" roundtripDataChecksum="QYSqk5eC2Vpj4C5JhPcYKcQyxoymPBE3x1gKMIw8slo="/>
    </ext>
  </extLst>
</workbook>
</file>

<file path=xl/calcChain.xml><?xml version="1.0" encoding="utf-8"?>
<calcChain xmlns="http://schemas.openxmlformats.org/spreadsheetml/2006/main">
  <c r="I50" i="9" l="1"/>
  <c r="I49" i="9"/>
  <c r="C49" i="9"/>
  <c r="D49" i="9" s="1"/>
  <c r="I48" i="9"/>
  <c r="I47" i="9"/>
  <c r="I46" i="9"/>
  <c r="C46" i="9"/>
  <c r="B46" i="9" s="1"/>
  <c r="I45" i="9"/>
  <c r="I44" i="9"/>
  <c r="C44" i="9"/>
  <c r="D44" i="9" s="1"/>
  <c r="I43" i="9"/>
  <c r="I42" i="9"/>
  <c r="C42" i="9"/>
  <c r="N42" i="9" s="1"/>
  <c r="I41" i="9"/>
  <c r="C41" i="9"/>
  <c r="B41" i="9" s="1"/>
  <c r="I40" i="9"/>
  <c r="I39" i="9"/>
  <c r="C39" i="9"/>
  <c r="B39" i="9" s="1"/>
  <c r="I38" i="9"/>
  <c r="I37" i="9"/>
  <c r="C37" i="9"/>
  <c r="N37" i="9" s="1"/>
  <c r="B37" i="9"/>
  <c r="I36" i="9"/>
  <c r="I35" i="9"/>
  <c r="I34" i="9"/>
  <c r="C34" i="9"/>
  <c r="B34" i="9" s="1"/>
  <c r="I33" i="9"/>
  <c r="I32" i="9"/>
  <c r="C32" i="9"/>
  <c r="D32" i="9" s="1"/>
  <c r="I31" i="9"/>
  <c r="I30" i="9"/>
  <c r="C30" i="9"/>
  <c r="N30" i="9" s="1"/>
  <c r="I29" i="9"/>
  <c r="C29" i="9"/>
  <c r="B29" i="9" s="1"/>
  <c r="I28" i="9"/>
  <c r="I27" i="9"/>
  <c r="C27" i="9"/>
  <c r="B27" i="9" s="1"/>
  <c r="I26" i="9"/>
  <c r="I25" i="9"/>
  <c r="C25" i="9"/>
  <c r="D25" i="9" s="1"/>
  <c r="B25" i="9"/>
  <c r="I24" i="9"/>
  <c r="I23" i="9"/>
  <c r="I22" i="9"/>
  <c r="C22" i="9"/>
  <c r="B22" i="9" s="1"/>
  <c r="I21" i="9"/>
  <c r="I20" i="9"/>
  <c r="C20" i="9"/>
  <c r="D20" i="9" s="1"/>
  <c r="I19" i="9"/>
  <c r="I18" i="9"/>
  <c r="C18" i="9"/>
  <c r="N18" i="9" s="1"/>
  <c r="I17" i="9"/>
  <c r="C17" i="9"/>
  <c r="B17" i="9" s="1"/>
  <c r="I16" i="9"/>
  <c r="I15" i="9"/>
  <c r="C15" i="9"/>
  <c r="B15" i="9" s="1"/>
  <c r="I14" i="9"/>
  <c r="I13" i="9"/>
  <c r="C13" i="9"/>
  <c r="D13" i="9" s="1"/>
  <c r="B13" i="9"/>
  <c r="C11" i="9"/>
  <c r="N11" i="9" s="1"/>
  <c r="B11" i="9"/>
  <c r="I51" i="9"/>
  <c r="C10" i="9"/>
  <c r="B10" i="9" s="1"/>
  <c r="I6" i="9"/>
  <c r="C48" i="9" s="1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6" i="8"/>
  <c r="C46" i="8" s="1"/>
  <c r="D10" i="9" l="1"/>
  <c r="D17" i="9"/>
  <c r="D22" i="9"/>
  <c r="D29" i="9"/>
  <c r="D34" i="9"/>
  <c r="D41" i="9"/>
  <c r="D46" i="9"/>
  <c r="N17" i="9"/>
  <c r="N29" i="9"/>
  <c r="N41" i="9"/>
  <c r="B18" i="9"/>
  <c r="B30" i="9"/>
  <c r="B42" i="9"/>
  <c r="B49" i="9"/>
  <c r="B20" i="9"/>
  <c r="B32" i="9"/>
  <c r="B44" i="9"/>
  <c r="N48" i="9"/>
  <c r="D48" i="9"/>
  <c r="B48" i="9"/>
  <c r="N22" i="9"/>
  <c r="D37" i="9"/>
  <c r="D18" i="9"/>
  <c r="N20" i="9"/>
  <c r="C23" i="9"/>
  <c r="D30" i="9"/>
  <c r="N32" i="9"/>
  <c r="C35" i="9"/>
  <c r="D42" i="9"/>
  <c r="N44" i="9"/>
  <c r="C47" i="9"/>
  <c r="D11" i="9"/>
  <c r="N13" i="9"/>
  <c r="C16" i="9"/>
  <c r="N25" i="9"/>
  <c r="C28" i="9"/>
  <c r="C40" i="9"/>
  <c r="N49" i="9"/>
  <c r="C21" i="9"/>
  <c r="C33" i="9"/>
  <c r="C45" i="9"/>
  <c r="C14" i="9"/>
  <c r="C26" i="9"/>
  <c r="C38" i="9"/>
  <c r="C50" i="9"/>
  <c r="C19" i="9"/>
  <c r="C31" i="9"/>
  <c r="C43" i="9"/>
  <c r="D27" i="9"/>
  <c r="N34" i="9"/>
  <c r="N46" i="9"/>
  <c r="N15" i="9"/>
  <c r="N27" i="9"/>
  <c r="N39" i="9"/>
  <c r="C12" i="9"/>
  <c r="C24" i="9"/>
  <c r="C36" i="9"/>
  <c r="D39" i="9"/>
  <c r="N10" i="9"/>
  <c r="D15" i="9"/>
  <c r="I51" i="8"/>
  <c r="B46" i="8"/>
  <c r="N46" i="8"/>
  <c r="D46" i="8"/>
  <c r="C44" i="8"/>
  <c r="C13" i="8"/>
  <c r="C42" i="8"/>
  <c r="C23" i="8"/>
  <c r="C35" i="8"/>
  <c r="C16" i="8"/>
  <c r="C40" i="8"/>
  <c r="C15" i="8"/>
  <c r="C39" i="8"/>
  <c r="C21" i="8"/>
  <c r="C45" i="8"/>
  <c r="C20" i="8"/>
  <c r="C30" i="8"/>
  <c r="C14" i="8"/>
  <c r="C26" i="8"/>
  <c r="C38" i="8"/>
  <c r="C50" i="8"/>
  <c r="C37" i="8"/>
  <c r="C11" i="8"/>
  <c r="C47" i="8"/>
  <c r="C43" i="8"/>
  <c r="C12" i="8"/>
  <c r="C24" i="8"/>
  <c r="C36" i="8"/>
  <c r="C48" i="8"/>
  <c r="C32" i="8"/>
  <c r="C28" i="8"/>
  <c r="C31" i="8"/>
  <c r="C17" i="8"/>
  <c r="C29" i="8"/>
  <c r="C41" i="8"/>
  <c r="C27" i="8"/>
  <c r="C25" i="8"/>
  <c r="C49" i="8"/>
  <c r="C18" i="8"/>
  <c r="C33" i="8"/>
  <c r="C19" i="8"/>
  <c r="C10" i="8"/>
  <c r="C22" i="8"/>
  <c r="C34" i="8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6" i="3"/>
  <c r="C47" i="3" s="1"/>
  <c r="N47" i="3" s="1"/>
  <c r="N40" i="9" l="1"/>
  <c r="D40" i="9"/>
  <c r="B40" i="9"/>
  <c r="B23" i="9"/>
  <c r="N23" i="9"/>
  <c r="D23" i="9"/>
  <c r="N45" i="9"/>
  <c r="D45" i="9"/>
  <c r="B45" i="9"/>
  <c r="B35" i="9"/>
  <c r="N35" i="9"/>
  <c r="D35" i="9"/>
  <c r="N31" i="9"/>
  <c r="D31" i="9"/>
  <c r="B31" i="9"/>
  <c r="N43" i="9"/>
  <c r="D43" i="9"/>
  <c r="B43" i="9"/>
  <c r="N50" i="9"/>
  <c r="D50" i="9"/>
  <c r="B50" i="9"/>
  <c r="N19" i="9"/>
  <c r="D19" i="9"/>
  <c r="B19" i="9"/>
  <c r="N36" i="9"/>
  <c r="D36" i="9"/>
  <c r="B36" i="9"/>
  <c r="N24" i="9"/>
  <c r="D24" i="9"/>
  <c r="B24" i="9"/>
  <c r="N38" i="9"/>
  <c r="D38" i="9"/>
  <c r="B38" i="9"/>
  <c r="N33" i="9"/>
  <c r="D33" i="9"/>
  <c r="B33" i="9"/>
  <c r="N21" i="9"/>
  <c r="D21" i="9"/>
  <c r="B21" i="9"/>
  <c r="N28" i="9"/>
  <c r="D28" i="9"/>
  <c r="B28" i="9"/>
  <c r="N16" i="9"/>
  <c r="D16" i="9"/>
  <c r="B16" i="9"/>
  <c r="N12" i="9"/>
  <c r="D12" i="9"/>
  <c r="B12" i="9"/>
  <c r="N26" i="9"/>
  <c r="D26" i="9"/>
  <c r="B26" i="9"/>
  <c r="B47" i="9"/>
  <c r="N47" i="9"/>
  <c r="D47" i="9"/>
  <c r="N14" i="9"/>
  <c r="D14" i="9"/>
  <c r="B14" i="9"/>
  <c r="I51" i="3"/>
  <c r="B27" i="8"/>
  <c r="D27" i="8"/>
  <c r="N27" i="8"/>
  <c r="D37" i="8"/>
  <c r="N37" i="8"/>
  <c r="B37" i="8"/>
  <c r="B34" i="8"/>
  <c r="D34" i="8"/>
  <c r="N34" i="8"/>
  <c r="B23" i="8"/>
  <c r="N23" i="8"/>
  <c r="D23" i="8"/>
  <c r="N25" i="8"/>
  <c r="D25" i="8"/>
  <c r="B25" i="8"/>
  <c r="N40" i="8"/>
  <c r="D40" i="8"/>
  <c r="B40" i="8"/>
  <c r="B22" i="8"/>
  <c r="N22" i="8"/>
  <c r="D22" i="8"/>
  <c r="N42" i="8"/>
  <c r="D42" i="8"/>
  <c r="B42" i="8"/>
  <c r="B15" i="8"/>
  <c r="D15" i="8"/>
  <c r="N15" i="8"/>
  <c r="D29" i="8"/>
  <c r="N29" i="8"/>
  <c r="B29" i="8"/>
  <c r="D17" i="8"/>
  <c r="B17" i="8"/>
  <c r="N17" i="8"/>
  <c r="D38" i="8"/>
  <c r="N38" i="8"/>
  <c r="B38" i="8"/>
  <c r="D26" i="8"/>
  <c r="N26" i="8"/>
  <c r="B26" i="8"/>
  <c r="N32" i="8"/>
  <c r="D32" i="8"/>
  <c r="B32" i="8"/>
  <c r="D14" i="8"/>
  <c r="N14" i="8"/>
  <c r="B14" i="8"/>
  <c r="N13" i="8"/>
  <c r="D13" i="8"/>
  <c r="B13" i="8"/>
  <c r="N43" i="8"/>
  <c r="D43" i="8"/>
  <c r="B43" i="8"/>
  <c r="D41" i="8"/>
  <c r="B41" i="8"/>
  <c r="N41" i="8"/>
  <c r="N16" i="8"/>
  <c r="D16" i="8"/>
  <c r="B16" i="8"/>
  <c r="N31" i="8"/>
  <c r="D31" i="8"/>
  <c r="B31" i="8"/>
  <c r="N28" i="8"/>
  <c r="B28" i="8"/>
  <c r="D28" i="8"/>
  <c r="N10" i="8"/>
  <c r="B10" i="8"/>
  <c r="D10" i="8"/>
  <c r="N19" i="8"/>
  <c r="D19" i="8"/>
  <c r="B19" i="8"/>
  <c r="D48" i="8"/>
  <c r="B48" i="8"/>
  <c r="N48" i="8"/>
  <c r="D30" i="8"/>
  <c r="B30" i="8"/>
  <c r="N30" i="8"/>
  <c r="N44" i="8"/>
  <c r="D44" i="8"/>
  <c r="B44" i="8"/>
  <c r="N47" i="8"/>
  <c r="D47" i="8"/>
  <c r="B47" i="8"/>
  <c r="N35" i="8"/>
  <c r="D35" i="8"/>
  <c r="B35" i="8"/>
  <c r="N33" i="8"/>
  <c r="D33" i="8"/>
  <c r="B33" i="8"/>
  <c r="D36" i="8"/>
  <c r="B36" i="8"/>
  <c r="N36" i="8"/>
  <c r="N20" i="8"/>
  <c r="B20" i="8"/>
  <c r="D20" i="8"/>
  <c r="B39" i="8"/>
  <c r="D39" i="8"/>
  <c r="N39" i="8"/>
  <c r="D11" i="8"/>
  <c r="N11" i="8"/>
  <c r="B11" i="8"/>
  <c r="N50" i="8"/>
  <c r="D50" i="8"/>
  <c r="B50" i="8"/>
  <c r="D18" i="8"/>
  <c r="N18" i="8"/>
  <c r="B18" i="8"/>
  <c r="D24" i="8"/>
  <c r="B24" i="8"/>
  <c r="N24" i="8"/>
  <c r="N45" i="8"/>
  <c r="D45" i="8"/>
  <c r="B45" i="8"/>
  <c r="B49" i="8"/>
  <c r="N49" i="8"/>
  <c r="D49" i="8"/>
  <c r="B12" i="8"/>
  <c r="D12" i="8"/>
  <c r="N12" i="8"/>
  <c r="B21" i="8"/>
  <c r="N21" i="8"/>
  <c r="D21" i="8"/>
  <c r="C28" i="3"/>
  <c r="N28" i="3" s="1"/>
  <c r="C29" i="3"/>
  <c r="N29" i="3" s="1"/>
  <c r="C42" i="3"/>
  <c r="N42" i="3" s="1"/>
  <c r="C31" i="3"/>
  <c r="N31" i="3" s="1"/>
  <c r="C20" i="3"/>
  <c r="N20" i="3" s="1"/>
  <c r="C21" i="3"/>
  <c r="N21" i="3" s="1"/>
  <c r="C33" i="3"/>
  <c r="N33" i="3" s="1"/>
  <c r="C45" i="3"/>
  <c r="N45" i="3" s="1"/>
  <c r="C12" i="3"/>
  <c r="N12" i="3" s="1"/>
  <c r="C36" i="3"/>
  <c r="N36" i="3" s="1"/>
  <c r="C37" i="3"/>
  <c r="N37" i="3" s="1"/>
  <c r="C14" i="3"/>
  <c r="N14" i="3" s="1"/>
  <c r="C50" i="3"/>
  <c r="N50" i="3" s="1"/>
  <c r="C15" i="3"/>
  <c r="N15" i="3" s="1"/>
  <c r="C27" i="3"/>
  <c r="N27" i="3" s="1"/>
  <c r="C16" i="3"/>
  <c r="N16" i="3" s="1"/>
  <c r="C17" i="3"/>
  <c r="N17" i="3" s="1"/>
  <c r="C30" i="3"/>
  <c r="N30" i="3" s="1"/>
  <c r="C43" i="3"/>
  <c r="N43" i="3" s="1"/>
  <c r="C32" i="3"/>
  <c r="N32" i="3" s="1"/>
  <c r="C10" i="3"/>
  <c r="N10" i="3" s="1"/>
  <c r="C22" i="3"/>
  <c r="N22" i="3" s="1"/>
  <c r="C34" i="3"/>
  <c r="N34" i="3" s="1"/>
  <c r="C46" i="3"/>
  <c r="N46" i="3" s="1"/>
  <c r="C24" i="3"/>
  <c r="N24" i="3" s="1"/>
  <c r="C48" i="3"/>
  <c r="N48" i="3" s="1"/>
  <c r="C13" i="3"/>
  <c r="N13" i="3" s="1"/>
  <c r="C25" i="3"/>
  <c r="N25" i="3" s="1"/>
  <c r="C49" i="3"/>
  <c r="N49" i="3" s="1"/>
  <c r="C26" i="3"/>
  <c r="N26" i="3" s="1"/>
  <c r="C38" i="3"/>
  <c r="N38" i="3" s="1"/>
  <c r="C39" i="3"/>
  <c r="N39" i="3" s="1"/>
  <c r="C40" i="3"/>
  <c r="N40" i="3" s="1"/>
  <c r="C41" i="3"/>
  <c r="N41" i="3" s="1"/>
  <c r="C18" i="3"/>
  <c r="N18" i="3" s="1"/>
  <c r="C19" i="3"/>
  <c r="N19" i="3" s="1"/>
  <c r="C44" i="3"/>
  <c r="N44" i="3" s="1"/>
  <c r="C11" i="3"/>
  <c r="N11" i="3" s="1"/>
  <c r="C23" i="3"/>
  <c r="N23" i="3" s="1"/>
  <c r="C35" i="3"/>
  <c r="N35" i="3" s="1"/>
  <c r="B10" i="3"/>
  <c r="B12" i="3"/>
  <c r="B14" i="3"/>
  <c r="B20" i="3"/>
  <c r="B26" i="3"/>
  <c r="B28" i="3"/>
  <c r="B30" i="3"/>
  <c r="B32" i="3"/>
  <c r="D10" i="3"/>
  <c r="D12" i="3"/>
  <c r="D14" i="3"/>
  <c r="D20" i="3"/>
  <c r="D30" i="3"/>
  <c r="D32" i="3"/>
  <c r="B17" i="3"/>
  <c r="B21" i="3"/>
  <c r="B31" i="3"/>
  <c r="B33" i="3"/>
  <c r="B39" i="3"/>
  <c r="B43" i="3"/>
  <c r="B45" i="3"/>
  <c r="B47" i="3"/>
  <c r="B49" i="3"/>
  <c r="D17" i="3"/>
  <c r="D21" i="3"/>
  <c r="D31" i="3"/>
  <c r="D33" i="3"/>
  <c r="D43" i="3"/>
  <c r="D45" i="3"/>
  <c r="D47" i="3"/>
  <c r="D49" i="3"/>
  <c r="D22" i="3" l="1"/>
  <c r="B22" i="3"/>
  <c r="D36" i="3"/>
  <c r="B36" i="3"/>
  <c r="D24" i="3"/>
  <c r="D27" i="3"/>
  <c r="B41" i="3"/>
  <c r="D25" i="3"/>
  <c r="B13" i="3"/>
  <c r="D16" i="3"/>
  <c r="B35" i="3"/>
  <c r="D15" i="3"/>
  <c r="B29" i="3"/>
  <c r="D42" i="3"/>
  <c r="B24" i="3"/>
  <c r="B27" i="3"/>
  <c r="D38" i="3"/>
  <c r="B11" i="3"/>
  <c r="D41" i="3"/>
  <c r="D11" i="3"/>
  <c r="B25" i="3"/>
  <c r="B50" i="3"/>
  <c r="D50" i="3"/>
  <c r="B23" i="3"/>
  <c r="B48" i="3"/>
  <c r="B16" i="3"/>
  <c r="D23" i="3"/>
  <c r="D35" i="3"/>
  <c r="B44" i="3"/>
  <c r="B42" i="3"/>
  <c r="D48" i="3"/>
  <c r="D44" i="3"/>
  <c r="D13" i="3"/>
  <c r="D28" i="3"/>
  <c r="D29" i="3"/>
  <c r="B15" i="3"/>
  <c r="D26" i="3"/>
  <c r="B38" i="3"/>
  <c r="D34" i="3"/>
  <c r="B46" i="3"/>
  <c r="D19" i="3"/>
  <c r="D39" i="3"/>
  <c r="B18" i="3"/>
  <c r="B19" i="3"/>
  <c r="B37" i="3"/>
  <c r="D37" i="3"/>
  <c r="D46" i="3"/>
  <c r="B40" i="3"/>
  <c r="D18" i="3"/>
  <c r="D40" i="3"/>
  <c r="B34" i="3"/>
</calcChain>
</file>

<file path=xl/sharedStrings.xml><?xml version="1.0" encoding="utf-8"?>
<sst xmlns="http://schemas.openxmlformats.org/spreadsheetml/2006/main" count="86" uniqueCount="35">
  <si>
    <t>会社名：</t>
  </si>
  <si>
    <t>氏名：</t>
  </si>
  <si>
    <t>作業期間：</t>
  </si>
  <si>
    <t>～</t>
  </si>
  <si>
    <t>締め日</t>
  </si>
  <si>
    <t>作業日</t>
  </si>
  <si>
    <t>開始</t>
  </si>
  <si>
    <t>終了</t>
  </si>
  <si>
    <t>作業時間</t>
  </si>
  <si>
    <t>月</t>
  </si>
  <si>
    <t>日</t>
  </si>
  <si>
    <t>時</t>
  </si>
  <si>
    <t>分</t>
  </si>
  <si>
    <t>休憩</t>
  </si>
  <si>
    <t>祭日</t>
  </si>
  <si>
    <t>合計</t>
  </si>
  <si>
    <t>勤務表【提出用】</t>
    <rPh sb="0" eb="3">
      <t>キンムヒョウ</t>
    </rPh>
    <rPh sb="4" eb="7">
      <t>テイシュツヨウ</t>
    </rPh>
    <phoneticPr fontId="2"/>
  </si>
  <si>
    <t>曜
日</t>
    <rPh sb="2" eb="3">
      <t>ニチ</t>
    </rPh>
    <phoneticPr fontId="2"/>
  </si>
  <si>
    <t>作業内容（勤怠報告等）</t>
    <rPh sb="5" eb="9">
      <t>キンタイホウコク</t>
    </rPh>
    <rPh sb="9" eb="10">
      <t>トウ</t>
    </rPh>
    <phoneticPr fontId="2"/>
  </si>
  <si>
    <t>空欄でお願いします。</t>
    <rPh sb="0" eb="2">
      <t>クウラン</t>
    </rPh>
    <rPh sb="4" eb="5">
      <t>ネガ</t>
    </rPh>
    <phoneticPr fontId="2"/>
  </si>
  <si>
    <t>フルネーム</t>
    <phoneticPr fontId="2"/>
  </si>
  <si>
    <t>日付をyyyy/mm/dd形式で入力してください</t>
    <rPh sb="0" eb="2">
      <t>ヒヅケ</t>
    </rPh>
    <rPh sb="13" eb="15">
      <t>ケイシキ</t>
    </rPh>
    <rPh sb="16" eb="18">
      <t>ニュウリョク</t>
    </rPh>
    <phoneticPr fontId="2"/>
  </si>
  <si>
    <t>30</t>
    <phoneticPr fontId="2"/>
  </si>
  <si>
    <t>00</t>
    <phoneticPr fontId="2"/>
  </si>
  <si>
    <t>10</t>
    <phoneticPr fontId="2"/>
  </si>
  <si>
    <t>19</t>
    <phoneticPr fontId="2"/>
  </si>
  <si>
    <t>「分」の欄は"00"か"30"で記入してください</t>
    <rPh sb="1" eb="2">
      <t>フン</t>
    </rPh>
    <rPh sb="4" eb="5">
      <t>ラン</t>
    </rPh>
    <rPh sb="16" eb="18">
      <t>キニュウ</t>
    </rPh>
    <phoneticPr fontId="2"/>
  </si>
  <si>
    <t>※清算単位が「30分/日」のため</t>
    <rPh sb="1" eb="5">
      <t>セイサンタンイ</t>
    </rPh>
    <rPh sb="9" eb="10">
      <t>フン</t>
    </rPh>
    <rPh sb="11" eb="12">
      <t>ニチ</t>
    </rPh>
    <phoneticPr fontId="2"/>
  </si>
  <si>
    <t>入場</t>
    <rPh sb="0" eb="2">
      <t>ニュウジョウ</t>
    </rPh>
    <phoneticPr fontId="2"/>
  </si>
  <si>
    <t>在宅（PC設定/OJT等）</t>
    <rPh sb="0" eb="2">
      <t>ザイタク</t>
    </rPh>
    <rPh sb="5" eb="7">
      <t>セッテイ</t>
    </rPh>
    <rPh sb="11" eb="12">
      <t>トウ</t>
    </rPh>
    <phoneticPr fontId="2"/>
  </si>
  <si>
    <t>電車遅延による遅刻（定常業務）</t>
    <rPh sb="0" eb="4">
      <t>デンシャチエン</t>
    </rPh>
    <rPh sb="7" eb="9">
      <t>チコク</t>
    </rPh>
    <rPh sb="10" eb="14">
      <t>テイジョウギョウム</t>
    </rPh>
    <phoneticPr fontId="2"/>
  </si>
  <si>
    <t>体調不良</t>
    <rPh sb="0" eb="4">
      <t>タイチョウフリョウ</t>
    </rPh>
    <phoneticPr fontId="2"/>
  </si>
  <si>
    <t>有給（予定休）</t>
    <rPh sb="0" eb="2">
      <t>ユウキュウ</t>
    </rPh>
    <rPh sb="3" eb="6">
      <t>ヨテイキュウ</t>
    </rPh>
    <phoneticPr fontId="2"/>
  </si>
  <si>
    <t>大まかな当日の業務内容や欠勤時の理由を記載</t>
    <rPh sb="0" eb="1">
      <t>オオ</t>
    </rPh>
    <rPh sb="4" eb="6">
      <t>トウジツ</t>
    </rPh>
    <rPh sb="7" eb="11">
      <t>ギョウムナイヨウ</t>
    </rPh>
    <rPh sb="12" eb="15">
      <t>ケッキンジ</t>
    </rPh>
    <rPh sb="16" eb="18">
      <t>リユウ</t>
    </rPh>
    <rPh sb="19" eb="21">
      <t>キサイ</t>
    </rPh>
    <phoneticPr fontId="2"/>
  </si>
  <si>
    <r>
      <t>勤務表【提出用】　　</t>
    </r>
    <r>
      <rPr>
        <sz val="16"/>
        <color rgb="FFFF0000"/>
        <rFont val="BIZ UDゴシック"/>
        <family val="3"/>
        <charset val="128"/>
      </rPr>
      <t>★</t>
    </r>
    <r>
      <rPr>
        <b/>
        <u/>
        <sz val="16"/>
        <color rgb="FFFF0000"/>
        <rFont val="BIZ UDゴシック"/>
        <family val="3"/>
        <charset val="128"/>
      </rPr>
      <t>重要★ 提出時はPDFにして勤務表のみを送付</t>
    </r>
    <rPh sb="0" eb="3">
      <t>キンムヒョウ</t>
    </rPh>
    <rPh sb="4" eb="7">
      <t>テイシュツヨウ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</si>
</sst>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d"/>
    <numFmt numFmtId="177" formatCode="aaa"/>
    <numFmt numFmtId="178" formatCode="0.00_);[Red]\(0.00\)"/>
    <numFmt numFmtId="179" formatCode="0_ "/>
  </numFmts>
  <fonts count="18">
    <font>
      <sz val="11"/>
      <color rgb="FF000000"/>
      <name val="Calibri"/>
      <scheme val="minor"/>
    </font>
    <font>
      <sz val="11"/>
      <color theme="1"/>
      <name val="Meiryo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BIZ UDゴシック"/>
      <family val="3"/>
      <charset val="128"/>
    </font>
    <font>
      <sz val="11"/>
      <color rgb="FF000000"/>
      <name val="BIZ UDゴシック"/>
      <family val="3"/>
      <charset val="128"/>
    </font>
    <font>
      <b/>
      <sz val="10"/>
      <color theme="1"/>
      <name val="BIZ UDゴシック"/>
      <family val="3"/>
      <charset val="128"/>
    </font>
    <font>
      <sz val="11"/>
      <name val="BIZ UDゴシック"/>
      <family val="3"/>
      <charset val="128"/>
    </font>
    <font>
      <sz val="9"/>
      <color theme="1"/>
      <name val="BIZ UDゴシック"/>
      <family val="3"/>
      <charset val="128"/>
    </font>
    <font>
      <b/>
      <sz val="11"/>
      <color theme="1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sz val="16"/>
      <color theme="1"/>
      <name val="BIZ UDゴシック"/>
      <family val="3"/>
      <charset val="128"/>
    </font>
    <font>
      <sz val="10"/>
      <color rgb="FFFF0000"/>
      <name val="BIZ UDゴシック"/>
      <family val="3"/>
      <charset val="128"/>
    </font>
    <font>
      <sz val="11"/>
      <color rgb="FFFF0000"/>
      <name val="BIZ UDゴシック"/>
      <family val="3"/>
      <charset val="128"/>
    </font>
    <font>
      <b/>
      <sz val="11"/>
      <color rgb="FFFF0000"/>
      <name val="BIZ UDゴシック"/>
      <family val="3"/>
      <charset val="128"/>
    </font>
    <font>
      <b/>
      <sz val="7"/>
      <color theme="1"/>
      <name val="BIZ UDゴシック"/>
      <family val="3"/>
      <charset val="128"/>
    </font>
    <font>
      <sz val="9"/>
      <color rgb="FFFF0000"/>
      <name val="BIZ UDゴシック"/>
      <family val="3"/>
      <charset val="128"/>
    </font>
    <font>
      <sz val="16"/>
      <color rgb="FFFF0000"/>
      <name val="BIZ UDゴシック"/>
      <family val="3"/>
      <charset val="128"/>
    </font>
    <font>
      <b/>
      <u/>
      <sz val="16"/>
      <color rgb="FFFF0000"/>
      <name val="BIZ UD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DE9D9"/>
      </patternFill>
    </fill>
    <fill>
      <patternFill patternType="solid">
        <fgColor theme="8" tint="0.59999389629810485"/>
        <bgColor rgb="FFFBD4B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56" fontId="1" fillId="0" borderId="0" xfId="0" applyNumberFormat="1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76" fontId="3" fillId="0" borderId="19" xfId="0" applyNumberFormat="1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center" vertical="center"/>
    </xf>
    <xf numFmtId="178" fontId="3" fillId="0" borderId="22" xfId="0" applyNumberFormat="1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179" fontId="3" fillId="0" borderId="0" xfId="0" applyNumberFormat="1" applyFont="1" applyAlignment="1">
      <alignment horizontal="center" vertical="center"/>
    </xf>
    <xf numFmtId="177" fontId="3" fillId="0" borderId="25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76" fontId="3" fillId="0" borderId="24" xfId="0" applyNumberFormat="1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center" vertical="center"/>
    </xf>
    <xf numFmtId="176" fontId="3" fillId="0" borderId="29" xfId="0" applyNumberFormat="1" applyFont="1" applyBorder="1" applyAlignment="1">
      <alignment horizontal="center" vertical="center"/>
    </xf>
    <xf numFmtId="177" fontId="3" fillId="0" borderId="30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178" fontId="3" fillId="0" borderId="32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49" fontId="3" fillId="0" borderId="21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178" fontId="3" fillId="0" borderId="27" xfId="0" applyNumberFormat="1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shrinkToFit="1"/>
    </xf>
    <xf numFmtId="14" fontId="5" fillId="2" borderId="7" xfId="0" applyNumberFormat="1" applyFont="1" applyFill="1" applyBorder="1" applyAlignment="1">
      <alignment horizontal="left" vertical="center" shrinkToFit="1"/>
    </xf>
    <xf numFmtId="0" fontId="8" fillId="3" borderId="13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78" fontId="3" fillId="4" borderId="36" xfId="0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right"/>
    </xf>
    <xf numFmtId="0" fontId="14" fillId="0" borderId="0" xfId="0" applyFont="1" applyAlignment="1">
      <alignment horizontal="right" vertical="top"/>
    </xf>
    <xf numFmtId="0" fontId="15" fillId="0" borderId="22" xfId="0" applyFont="1" applyBorder="1" applyAlignment="1">
      <alignment horizontal="right" vertical="center" wrapText="1"/>
    </xf>
    <xf numFmtId="0" fontId="8" fillId="3" borderId="8" xfId="0" applyFont="1" applyFill="1" applyBorder="1" applyAlignment="1">
      <alignment horizontal="center" vertical="center"/>
    </xf>
    <xf numFmtId="0" fontId="6" fillId="2" borderId="9" xfId="0" applyFont="1" applyFill="1" applyBorder="1"/>
    <xf numFmtId="0" fontId="6" fillId="2" borderId="10" xfId="0" applyFont="1" applyFill="1" applyBorder="1"/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6" fillId="2" borderId="17" xfId="0" applyFont="1" applyFill="1" applyBorder="1"/>
    <xf numFmtId="0" fontId="5" fillId="4" borderId="33" xfId="0" applyFont="1" applyFill="1" applyBorder="1" applyAlignment="1">
      <alignment horizontal="center" vertical="center"/>
    </xf>
    <xf numFmtId="0" fontId="6" fillId="2" borderId="34" xfId="0" applyFont="1" applyFill="1" applyBorder="1"/>
    <xf numFmtId="0" fontId="6" fillId="2" borderId="35" xfId="0" applyFont="1" applyFill="1" applyBorder="1"/>
    <xf numFmtId="0" fontId="10" fillId="0" borderId="38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3" fillId="0" borderId="4" xfId="0" applyFont="1" applyBorder="1" applyAlignment="1">
      <alignment vertical="center" shrinkToFit="1"/>
    </xf>
    <xf numFmtId="0" fontId="6" fillId="0" borderId="2" xfId="0" applyFont="1" applyBorder="1"/>
    <xf numFmtId="0" fontId="6" fillId="0" borderId="5" xfId="0" applyFont="1" applyBorder="1"/>
    <xf numFmtId="0" fontId="3" fillId="0" borderId="4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2" borderId="1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/>
    </xf>
    <xf numFmtId="0" fontId="6" fillId="2" borderId="3" xfId="0" applyFont="1" applyFill="1" applyBorder="1" applyAlignment="1">
      <alignment horizontal="right"/>
    </xf>
    <xf numFmtId="14" fontId="8" fillId="2" borderId="4" xfId="0" applyNumberFormat="1" applyFont="1" applyFill="1" applyBorder="1" applyAlignment="1">
      <alignment horizontal="right" vertical="center" shrinkToFit="1"/>
    </xf>
    <xf numFmtId="0" fontId="6" fillId="2" borderId="2" xfId="0" applyFont="1" applyFill="1" applyBorder="1"/>
    <xf numFmtId="0" fontId="6" fillId="2" borderId="3" xfId="0" applyFont="1" applyFill="1" applyBorder="1"/>
    <xf numFmtId="0" fontId="10" fillId="0" borderId="0" xfId="0" applyFont="1" applyAlignment="1">
      <alignment horizontal="left" vertical="center"/>
    </xf>
    <xf numFmtId="14" fontId="13" fillId="2" borderId="4" xfId="0" applyNumberFormat="1" applyFont="1" applyFill="1" applyBorder="1" applyAlignment="1">
      <alignment horizontal="right" vertical="center" shrinkToFit="1"/>
    </xf>
    <xf numFmtId="0" fontId="12" fillId="2" borderId="2" xfId="0" applyFont="1" applyFill="1" applyBorder="1"/>
    <xf numFmtId="0" fontId="12" fillId="2" borderId="3" xfId="0" applyFont="1" applyFill="1" applyBorder="1"/>
  </cellXfs>
  <cellStyles count="1">
    <cellStyle name="標準" xfId="0" builtinId="0"/>
  </cellStyles>
  <dxfs count="3"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234315</xdr:colOff>
      <xdr:row>3</xdr:row>
      <xdr:rowOff>188595</xdr:rowOff>
    </xdr:from>
    <xdr:to>
      <xdr:col>7</xdr:col>
      <xdr:colOff>81915</xdr:colOff>
      <xdr:row>6</xdr:row>
      <xdr:rowOff>74295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01294365-0127-A1EE-ECE0-E816D478FC58}"/>
            </a:ext>
          </a:extLst>
        </xdr:cNvPr>
        <xdr:cNvSpPr/>
      </xdr:nvSpPr>
      <xdr:spPr>
        <a:xfrm>
          <a:off x="1320165" y="902970"/>
          <a:ext cx="819150" cy="3619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278130</xdr:colOff>
      <xdr:row>1</xdr:row>
      <xdr:rowOff>133350</xdr:rowOff>
    </xdr:from>
    <xdr:to>
      <xdr:col>9</xdr:col>
      <xdr:colOff>771525</xdr:colOff>
      <xdr:row>5</xdr:row>
      <xdr:rowOff>91440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A752D68A-2D51-F03F-2F55-48190A4482F3}"/>
            </a:ext>
          </a:extLst>
        </xdr:cNvPr>
        <xdr:cNvCxnSpPr/>
      </xdr:nvCxnSpPr>
      <xdr:spPr>
        <a:xfrm flipV="1">
          <a:off x="2011680" y="609600"/>
          <a:ext cx="1922145" cy="43434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266699</xdr:colOff>
      <xdr:row>9</xdr:row>
      <xdr:rowOff>215265</xdr:rowOff>
    </xdr:from>
    <xdr:to>
      <xdr:col>8</xdr:col>
      <xdr:colOff>49528</xdr:colOff>
      <xdr:row>12</xdr:row>
      <xdr:rowOff>40005</xdr:rowOff>
    </xdr:to>
    <xdr:sp macro="" textlink="">
      <xdr:nvSpPr>
        <xdr:cNvPr id="8" name="楕円 7">
          <a:extLst>
            <a:ext uri="{FF2B5EF4-FFF2-40B4-BE49-F238E27FC236}">
              <a16:creationId xmlns:a16="http://schemas.microsoft.com/office/drawing/2014/main" id="{1D8A7C36-BEF4-4471-A5AB-9CEADC67AEAD}"/>
            </a:ext>
          </a:extLst>
        </xdr:cNvPr>
        <xdr:cNvSpPr/>
      </xdr:nvSpPr>
      <xdr:spPr>
        <a:xfrm>
          <a:off x="2000249" y="2291715"/>
          <a:ext cx="430529" cy="56769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186690</xdr:colOff>
      <xdr:row>6</xdr:row>
      <xdr:rowOff>9525</xdr:rowOff>
    </xdr:from>
    <xdr:to>
      <xdr:col>9</xdr:col>
      <xdr:colOff>790575</xdr:colOff>
      <xdr:row>10</xdr:row>
      <xdr:rowOff>91440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EBED908-2E27-474C-8F09-71407D6C48CA}"/>
            </a:ext>
          </a:extLst>
        </xdr:cNvPr>
        <xdr:cNvCxnSpPr/>
      </xdr:nvCxnSpPr>
      <xdr:spPr>
        <a:xfrm flipV="1">
          <a:off x="2244090" y="1200150"/>
          <a:ext cx="1708785" cy="121539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266699</xdr:colOff>
      <xdr:row>9</xdr:row>
      <xdr:rowOff>201930</xdr:rowOff>
    </xdr:from>
    <xdr:to>
      <xdr:col>6</xdr:col>
      <xdr:colOff>55243</xdr:colOff>
      <xdr:row>12</xdr:row>
      <xdr:rowOff>36195</xdr:rowOff>
    </xdr:to>
    <xdr:sp macro="" textlink="">
      <xdr:nvSpPr>
        <xdr:cNvPr id="12" name="楕円 11">
          <a:extLst>
            <a:ext uri="{FF2B5EF4-FFF2-40B4-BE49-F238E27FC236}">
              <a16:creationId xmlns:a16="http://schemas.microsoft.com/office/drawing/2014/main" id="{50EDC8CC-1AD7-4207-A6F8-0547D737CBB2}"/>
            </a:ext>
          </a:extLst>
        </xdr:cNvPr>
        <xdr:cNvSpPr/>
      </xdr:nvSpPr>
      <xdr:spPr>
        <a:xfrm>
          <a:off x="1352549" y="2278380"/>
          <a:ext cx="436244" cy="57721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240030</xdr:colOff>
      <xdr:row>6</xdr:row>
      <xdr:rowOff>66675</xdr:rowOff>
    </xdr:from>
    <xdr:to>
      <xdr:col>9</xdr:col>
      <xdr:colOff>723900</xdr:colOff>
      <xdr:row>10</xdr:row>
      <xdr:rowOff>87630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959FB2C8-93FA-3F37-E32D-7B2E55343584}"/>
            </a:ext>
          </a:extLst>
        </xdr:cNvPr>
        <xdr:cNvCxnSpPr/>
      </xdr:nvCxnSpPr>
      <xdr:spPr>
        <a:xfrm flipV="1">
          <a:off x="1649730" y="1257300"/>
          <a:ext cx="2236470" cy="115443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605791</xdr:colOff>
      <xdr:row>9</xdr:row>
      <xdr:rowOff>142875</xdr:rowOff>
    </xdr:from>
    <xdr:to>
      <xdr:col>9</xdr:col>
      <xdr:colOff>1847850</xdr:colOff>
      <xdr:row>15</xdr:row>
      <xdr:rowOff>104774</xdr:rowOff>
    </xdr:to>
    <xdr:sp macro="" textlink="">
      <xdr:nvSpPr>
        <xdr:cNvPr id="16" name="楕円 15">
          <a:extLst>
            <a:ext uri="{FF2B5EF4-FFF2-40B4-BE49-F238E27FC236}">
              <a16:creationId xmlns:a16="http://schemas.microsoft.com/office/drawing/2014/main" id="{D528D25F-E2A4-4B9D-85C4-E93124577CBB}"/>
            </a:ext>
          </a:extLst>
        </xdr:cNvPr>
        <xdr:cNvSpPr/>
      </xdr:nvSpPr>
      <xdr:spPr>
        <a:xfrm>
          <a:off x="2987041" y="2219325"/>
          <a:ext cx="2023109" cy="144779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607695</xdr:colOff>
      <xdr:row>14</xdr:row>
      <xdr:rowOff>91440</xdr:rowOff>
    </xdr:from>
    <xdr:to>
      <xdr:col>9</xdr:col>
      <xdr:colOff>952500</xdr:colOff>
      <xdr:row>16</xdr:row>
      <xdr:rowOff>38100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3E9CE569-D183-4162-B7EE-3C46472E0EEC}"/>
            </a:ext>
          </a:extLst>
        </xdr:cNvPr>
        <xdr:cNvCxnSpPr/>
      </xdr:nvCxnSpPr>
      <xdr:spPr>
        <a:xfrm>
          <a:off x="3769995" y="3406140"/>
          <a:ext cx="344805" cy="4419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11D4-1D1D-4F61-B716-D1AE7EAEE842}">
  <sheetPr>
    <pageSetUpPr fitToPage="1"/>
  </sheetPr>
  <dimension ref="A1:Z1000"/>
  <sheetViews>
    <sheetView showGridLines="0" workbookViewId="0">
      <pane ySplit="9" topLeftCell="A33" activePane="bottomLeft" state="frozen"/>
      <selection pane="bottomLeft" activeCell="J6" sqref="J6"/>
    </sheetView>
  </sheetViews>
  <sheetFormatPr defaultColWidth="14.33203125" defaultRowHeight="15" customHeight="1" outlineLevelRow="1"/>
  <cols>
    <col min="1" max="1" width="1.6640625" style="4" customWidth="1"/>
    <col min="2" max="8" width="4.6640625" style="4" customWidth="1"/>
    <col min="9" max="9" width="11.33203125" style="4" customWidth="1"/>
    <col min="10" max="10" width="48.6640625" style="4" customWidth="1"/>
    <col min="11" max="12" width="1.21875" style="4" customWidth="1"/>
    <col min="13" max="13" width="5.109375" style="4" customWidth="1"/>
    <col min="14" max="26" width="8.77734375" style="4" customWidth="1"/>
    <col min="27" max="16384" width="14.33203125" style="4"/>
  </cols>
  <sheetData>
    <row r="1" spans="1:26" ht="37.200000000000003" customHeight="1">
      <c r="A1" s="3"/>
      <c r="B1" s="55" t="s">
        <v>16</v>
      </c>
      <c r="C1" s="55"/>
      <c r="D1" s="55"/>
      <c r="E1" s="55"/>
      <c r="F1" s="55"/>
      <c r="G1" s="55"/>
      <c r="H1" s="55"/>
      <c r="I1" s="5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A2" s="3"/>
      <c r="B2" s="56" t="s">
        <v>0</v>
      </c>
      <c r="C2" s="57"/>
      <c r="D2" s="58"/>
      <c r="E2" s="59"/>
      <c r="F2" s="60"/>
      <c r="G2" s="60"/>
      <c r="H2" s="60"/>
      <c r="I2" s="6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600000000000001" hidden="1" customHeight="1">
      <c r="A3" s="3"/>
      <c r="B3" s="38"/>
      <c r="C3" s="38"/>
      <c r="D3" s="38"/>
      <c r="E3" s="3"/>
      <c r="F3" s="3"/>
      <c r="G3" s="3"/>
      <c r="H3" s="3"/>
      <c r="I3" s="3"/>
      <c r="J3" s="2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3"/>
      <c r="B4" s="56" t="s">
        <v>1</v>
      </c>
      <c r="C4" s="57"/>
      <c r="D4" s="58"/>
      <c r="E4" s="62"/>
      <c r="F4" s="63"/>
      <c r="G4" s="63"/>
      <c r="H4" s="63"/>
      <c r="I4" s="6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600000000000001" hidden="1" customHeight="1">
      <c r="A5" s="3"/>
      <c r="B5" s="39"/>
      <c r="C5" s="38"/>
      <c r="D5" s="3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3"/>
      <c r="B6" s="65" t="s">
        <v>2</v>
      </c>
      <c r="C6" s="66"/>
      <c r="D6" s="67"/>
      <c r="E6" s="68">
        <v>46113</v>
      </c>
      <c r="F6" s="69"/>
      <c r="G6" s="70"/>
      <c r="H6" s="32" t="s">
        <v>3</v>
      </c>
      <c r="I6" s="33">
        <f>DATE(YEAR($E6),MONTH($E6)+1,$N6)</f>
        <v>46142</v>
      </c>
      <c r="J6" s="3"/>
      <c r="K6" s="3"/>
      <c r="L6" s="3"/>
      <c r="M6" s="3" t="s">
        <v>4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 thickBot="1">
      <c r="A7" s="5"/>
      <c r="B7" s="6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 thickTop="1">
      <c r="A8" s="3"/>
      <c r="B8" s="46" t="s">
        <v>5</v>
      </c>
      <c r="C8" s="47"/>
      <c r="D8" s="48"/>
      <c r="E8" s="49" t="s">
        <v>6</v>
      </c>
      <c r="F8" s="48"/>
      <c r="G8" s="49" t="s">
        <v>7</v>
      </c>
      <c r="H8" s="48"/>
      <c r="I8" s="50" t="s">
        <v>8</v>
      </c>
      <c r="J8" s="50" t="s">
        <v>18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 thickBot="1">
      <c r="A9" s="3"/>
      <c r="B9" s="34" t="s">
        <v>9</v>
      </c>
      <c r="C9" s="35" t="s">
        <v>10</v>
      </c>
      <c r="D9" s="41" t="s">
        <v>17</v>
      </c>
      <c r="E9" s="37" t="s">
        <v>11</v>
      </c>
      <c r="F9" s="36" t="s">
        <v>12</v>
      </c>
      <c r="G9" s="37" t="s">
        <v>11</v>
      </c>
      <c r="H9" s="36" t="s">
        <v>12</v>
      </c>
      <c r="I9" s="51"/>
      <c r="J9" s="51"/>
      <c r="K9" s="3"/>
      <c r="L9" s="3"/>
      <c r="M9" s="3" t="s">
        <v>13</v>
      </c>
      <c r="N9" s="3" t="s">
        <v>14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thickTop="1">
      <c r="A10" s="3"/>
      <c r="B10" s="8">
        <f t="shared" ref="B10:B50" si="0">IF($C10="","",IF(OR($C10=$E$6,DAY($C10)=1),MONTH($C10),""))</f>
        <v>4</v>
      </c>
      <c r="C10" s="9">
        <f t="shared" ref="C10:C50" si="1">IF($E$6+ROW()-ROW($10:$10)&gt;$I$6,"",$E$6+ROW()-ROW($10:$10))</f>
        <v>46113</v>
      </c>
      <c r="D10" s="10">
        <f t="shared" ref="D10:D50" si="2">$C10</f>
        <v>46113</v>
      </c>
      <c r="E10" s="25"/>
      <c r="F10" s="26"/>
      <c r="G10" s="25"/>
      <c r="H10" s="26"/>
      <c r="I10" s="11"/>
      <c r="J10" s="12"/>
      <c r="K10" s="3"/>
      <c r="L10" s="3"/>
      <c r="M10" s="13">
        <v>1</v>
      </c>
      <c r="N10" s="5" t="str">
        <f>IFERROR(VLOOKUP($C10,休日!$A:$B,2,FALSE),"")</f>
        <v/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8" t="str">
        <f t="shared" si="0"/>
        <v/>
      </c>
      <c r="C11" s="9">
        <f t="shared" si="1"/>
        <v>46114</v>
      </c>
      <c r="D11" s="10">
        <f t="shared" si="2"/>
        <v>46114</v>
      </c>
      <c r="E11" s="25"/>
      <c r="F11" s="26"/>
      <c r="G11" s="25"/>
      <c r="H11" s="26"/>
      <c r="I11" s="11"/>
      <c r="J11" s="12"/>
      <c r="K11" s="3"/>
      <c r="L11" s="3"/>
      <c r="M11" s="13">
        <v>1</v>
      </c>
      <c r="N11" s="5" t="str">
        <f>IFERROR(VLOOKUP($C11,休日!$A:$B,2,FALSE),"")</f>
        <v/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8" t="str">
        <f t="shared" si="0"/>
        <v/>
      </c>
      <c r="C12" s="9">
        <f t="shared" si="1"/>
        <v>46115</v>
      </c>
      <c r="D12" s="10">
        <f t="shared" si="2"/>
        <v>46115</v>
      </c>
      <c r="E12" s="25"/>
      <c r="F12" s="26"/>
      <c r="G12" s="25"/>
      <c r="H12" s="26"/>
      <c r="I12" s="11"/>
      <c r="J12" s="12"/>
      <c r="K12" s="3"/>
      <c r="L12" s="3"/>
      <c r="M12" s="13">
        <v>1</v>
      </c>
      <c r="N12" s="5" t="str">
        <f>IFERROR(VLOOKUP($C12,休日!$A:$B,2,FALSE),"")</f>
        <v/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8" t="str">
        <f t="shared" si="0"/>
        <v/>
      </c>
      <c r="C13" s="9">
        <f t="shared" si="1"/>
        <v>46116</v>
      </c>
      <c r="D13" s="10">
        <f t="shared" si="2"/>
        <v>46116</v>
      </c>
      <c r="E13" s="25"/>
      <c r="F13" s="26"/>
      <c r="G13" s="25"/>
      <c r="H13" s="26"/>
      <c r="I13" s="11" t="str">
        <f t="shared" ref="I13:I50" si="3">IF($G13="","",($G13+$H13/60)-($E13+$F13/60)-$M13)</f>
        <v/>
      </c>
      <c r="J13" s="12"/>
      <c r="K13" s="3"/>
      <c r="L13" s="3"/>
      <c r="M13" s="13">
        <v>1</v>
      </c>
      <c r="N13" s="5" t="str">
        <f>IFERROR(VLOOKUP($C13,休日!$A:$B,2,FALSE),"")</f>
        <v/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8" t="str">
        <f t="shared" si="0"/>
        <v/>
      </c>
      <c r="C14" s="9">
        <f t="shared" si="1"/>
        <v>46117</v>
      </c>
      <c r="D14" s="10">
        <f t="shared" si="2"/>
        <v>46117</v>
      </c>
      <c r="E14" s="25"/>
      <c r="F14" s="26"/>
      <c r="G14" s="25"/>
      <c r="H14" s="26"/>
      <c r="I14" s="11" t="str">
        <f t="shared" si="3"/>
        <v/>
      </c>
      <c r="J14" s="12"/>
      <c r="K14" s="3"/>
      <c r="L14" s="3"/>
      <c r="M14" s="13">
        <v>1</v>
      </c>
      <c r="N14" s="5" t="str">
        <f>IFERROR(VLOOKUP($C14,休日!$A:$B,2,FALSE),"")</f>
        <v/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8" t="str">
        <f t="shared" si="0"/>
        <v/>
      </c>
      <c r="C15" s="9">
        <f t="shared" si="1"/>
        <v>46118</v>
      </c>
      <c r="D15" s="10">
        <f t="shared" si="2"/>
        <v>46118</v>
      </c>
      <c r="E15" s="25"/>
      <c r="F15" s="26"/>
      <c r="G15" s="25"/>
      <c r="H15" s="26"/>
      <c r="I15" s="11" t="str">
        <f t="shared" si="3"/>
        <v/>
      </c>
      <c r="J15" s="12"/>
      <c r="K15" s="3"/>
      <c r="L15" s="3"/>
      <c r="M15" s="13">
        <v>1</v>
      </c>
      <c r="N15" s="5" t="str">
        <f>IFERROR(VLOOKUP($C15,休日!$A:$B,2,FALSE),"")</f>
        <v/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8" t="str">
        <f t="shared" si="0"/>
        <v/>
      </c>
      <c r="C16" s="9">
        <f t="shared" si="1"/>
        <v>46119</v>
      </c>
      <c r="D16" s="10">
        <f t="shared" si="2"/>
        <v>46119</v>
      </c>
      <c r="E16" s="25"/>
      <c r="F16" s="26"/>
      <c r="G16" s="25"/>
      <c r="H16" s="26"/>
      <c r="I16" s="11" t="str">
        <f t="shared" si="3"/>
        <v/>
      </c>
      <c r="J16" s="12"/>
      <c r="K16" s="3"/>
      <c r="L16" s="3"/>
      <c r="M16" s="13">
        <v>1</v>
      </c>
      <c r="N16" s="5" t="str">
        <f>IFERROR(VLOOKUP($C16,休日!$A:$B,2,FALSE),"")</f>
        <v/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8" t="str">
        <f t="shared" si="0"/>
        <v/>
      </c>
      <c r="C17" s="9">
        <f t="shared" si="1"/>
        <v>46120</v>
      </c>
      <c r="D17" s="10">
        <f t="shared" si="2"/>
        <v>46120</v>
      </c>
      <c r="E17" s="25"/>
      <c r="F17" s="26"/>
      <c r="G17" s="25"/>
      <c r="H17" s="26"/>
      <c r="I17" s="11" t="str">
        <f t="shared" si="3"/>
        <v/>
      </c>
      <c r="J17" s="12"/>
      <c r="K17" s="3"/>
      <c r="L17" s="3"/>
      <c r="M17" s="13">
        <v>1</v>
      </c>
      <c r="N17" s="5" t="str">
        <f>IFERROR(VLOOKUP($C17,休日!$A:$B,2,FALSE),"")</f>
        <v/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8" t="str">
        <f t="shared" si="0"/>
        <v/>
      </c>
      <c r="C18" s="9">
        <f t="shared" si="1"/>
        <v>46121</v>
      </c>
      <c r="D18" s="10">
        <f t="shared" si="2"/>
        <v>46121</v>
      </c>
      <c r="E18" s="25"/>
      <c r="F18" s="26"/>
      <c r="G18" s="25"/>
      <c r="H18" s="26"/>
      <c r="I18" s="11" t="str">
        <f t="shared" si="3"/>
        <v/>
      </c>
      <c r="J18" s="12"/>
      <c r="K18" s="3"/>
      <c r="L18" s="3"/>
      <c r="M18" s="13">
        <v>1</v>
      </c>
      <c r="N18" s="5" t="str">
        <f>IFERROR(VLOOKUP($C18,休日!$A:$B,2,FALSE),"")</f>
        <v/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8" t="str">
        <f t="shared" si="0"/>
        <v/>
      </c>
      <c r="C19" s="9">
        <f t="shared" si="1"/>
        <v>46122</v>
      </c>
      <c r="D19" s="10">
        <f t="shared" si="2"/>
        <v>46122</v>
      </c>
      <c r="E19" s="25"/>
      <c r="F19" s="26"/>
      <c r="G19" s="25"/>
      <c r="H19" s="26"/>
      <c r="I19" s="11" t="str">
        <f t="shared" si="3"/>
        <v/>
      </c>
      <c r="J19" s="12"/>
      <c r="K19" s="3"/>
      <c r="L19" s="3"/>
      <c r="M19" s="13">
        <v>1</v>
      </c>
      <c r="N19" s="5" t="str">
        <f>IFERROR(VLOOKUP($C19,休日!$A:$B,2,FALSE),"")</f>
        <v/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8" t="str">
        <f t="shared" si="0"/>
        <v/>
      </c>
      <c r="C20" s="9">
        <f t="shared" si="1"/>
        <v>46123</v>
      </c>
      <c r="D20" s="10">
        <f t="shared" si="2"/>
        <v>46123</v>
      </c>
      <c r="E20" s="25"/>
      <c r="F20" s="26"/>
      <c r="G20" s="25"/>
      <c r="H20" s="26"/>
      <c r="I20" s="11" t="str">
        <f t="shared" si="3"/>
        <v/>
      </c>
      <c r="J20" s="12"/>
      <c r="K20" s="3"/>
      <c r="L20" s="3"/>
      <c r="M20" s="13">
        <v>1</v>
      </c>
      <c r="N20" s="5" t="str">
        <f>IFERROR(VLOOKUP($C20,休日!$A:$B,2,FALSE),"")</f>
        <v/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8" t="str">
        <f t="shared" si="0"/>
        <v/>
      </c>
      <c r="C21" s="9">
        <f t="shared" si="1"/>
        <v>46124</v>
      </c>
      <c r="D21" s="10">
        <f t="shared" si="2"/>
        <v>46124</v>
      </c>
      <c r="E21" s="25"/>
      <c r="F21" s="26"/>
      <c r="G21" s="25"/>
      <c r="H21" s="26"/>
      <c r="I21" s="11" t="str">
        <f t="shared" si="3"/>
        <v/>
      </c>
      <c r="J21" s="12"/>
      <c r="K21" s="3"/>
      <c r="L21" s="3"/>
      <c r="M21" s="13">
        <v>1</v>
      </c>
      <c r="N21" s="5" t="str">
        <f>IFERROR(VLOOKUP($C21,休日!$A:$B,2,FALSE),"")</f>
        <v/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8" t="str">
        <f t="shared" si="0"/>
        <v/>
      </c>
      <c r="C22" s="9">
        <f t="shared" si="1"/>
        <v>46125</v>
      </c>
      <c r="D22" s="10">
        <f t="shared" si="2"/>
        <v>46125</v>
      </c>
      <c r="E22" s="25"/>
      <c r="F22" s="26"/>
      <c r="G22" s="25"/>
      <c r="H22" s="26"/>
      <c r="I22" s="11" t="str">
        <f t="shared" si="3"/>
        <v/>
      </c>
      <c r="J22" s="12"/>
      <c r="K22" s="3"/>
      <c r="L22" s="3"/>
      <c r="M22" s="13">
        <v>1</v>
      </c>
      <c r="N22" s="5" t="str">
        <f>IFERROR(VLOOKUP($C22,休日!$A:$B,2,FALSE),"")</f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8" t="str">
        <f t="shared" si="0"/>
        <v/>
      </c>
      <c r="C23" s="9">
        <f t="shared" si="1"/>
        <v>46126</v>
      </c>
      <c r="D23" s="10">
        <f t="shared" si="2"/>
        <v>46126</v>
      </c>
      <c r="E23" s="25"/>
      <c r="F23" s="26"/>
      <c r="G23" s="25"/>
      <c r="H23" s="26"/>
      <c r="I23" s="11" t="str">
        <f t="shared" si="3"/>
        <v/>
      </c>
      <c r="J23" s="12"/>
      <c r="K23" s="3"/>
      <c r="L23" s="3"/>
      <c r="M23" s="13">
        <v>1</v>
      </c>
      <c r="N23" s="5" t="str">
        <f>IFERROR(VLOOKUP($C23,休日!$A:$B,2,FALSE),"")</f>
        <v/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8" t="str">
        <f t="shared" si="0"/>
        <v/>
      </c>
      <c r="C24" s="9">
        <f t="shared" si="1"/>
        <v>46127</v>
      </c>
      <c r="D24" s="10">
        <f t="shared" si="2"/>
        <v>46127</v>
      </c>
      <c r="E24" s="25"/>
      <c r="F24" s="26"/>
      <c r="G24" s="25"/>
      <c r="H24" s="26"/>
      <c r="I24" s="11" t="str">
        <f t="shared" si="3"/>
        <v/>
      </c>
      <c r="J24" s="12"/>
      <c r="K24" s="3"/>
      <c r="L24" s="3"/>
      <c r="M24" s="13">
        <v>1</v>
      </c>
      <c r="N24" s="5" t="str">
        <f>IFERROR(VLOOKUP($C24,休日!$A:$B,2,FALSE),"")</f>
        <v/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8" t="str">
        <f t="shared" si="0"/>
        <v/>
      </c>
      <c r="C25" s="9">
        <f t="shared" si="1"/>
        <v>46128</v>
      </c>
      <c r="D25" s="10">
        <f t="shared" si="2"/>
        <v>46128</v>
      </c>
      <c r="E25" s="25"/>
      <c r="F25" s="26"/>
      <c r="G25" s="25"/>
      <c r="H25" s="26"/>
      <c r="I25" s="11" t="str">
        <f t="shared" si="3"/>
        <v/>
      </c>
      <c r="J25" s="12"/>
      <c r="K25" s="3"/>
      <c r="L25" s="3"/>
      <c r="M25" s="13">
        <v>1</v>
      </c>
      <c r="N25" s="5" t="str">
        <f>IFERROR(VLOOKUP($C25,休日!$A:$B,2,FALSE),"")</f>
        <v/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8" t="str">
        <f t="shared" si="0"/>
        <v/>
      </c>
      <c r="C26" s="9">
        <f t="shared" si="1"/>
        <v>46129</v>
      </c>
      <c r="D26" s="10">
        <f t="shared" si="2"/>
        <v>46129</v>
      </c>
      <c r="E26" s="25"/>
      <c r="F26" s="26"/>
      <c r="G26" s="25"/>
      <c r="H26" s="26"/>
      <c r="I26" s="11" t="str">
        <f t="shared" si="3"/>
        <v/>
      </c>
      <c r="J26" s="12"/>
      <c r="K26" s="3"/>
      <c r="L26" s="3"/>
      <c r="M26" s="13">
        <v>1</v>
      </c>
      <c r="N26" s="5" t="str">
        <f>IFERROR(VLOOKUP($C26,休日!$A:$B,2,FALSE),"")</f>
        <v/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8" t="str">
        <f t="shared" si="0"/>
        <v/>
      </c>
      <c r="C27" s="9">
        <f t="shared" si="1"/>
        <v>46130</v>
      </c>
      <c r="D27" s="10">
        <f t="shared" si="2"/>
        <v>46130</v>
      </c>
      <c r="E27" s="25"/>
      <c r="F27" s="26"/>
      <c r="G27" s="25"/>
      <c r="H27" s="26"/>
      <c r="I27" s="11" t="str">
        <f t="shared" si="3"/>
        <v/>
      </c>
      <c r="J27" s="12"/>
      <c r="K27" s="3"/>
      <c r="L27" s="3"/>
      <c r="M27" s="13">
        <v>1</v>
      </c>
      <c r="N27" s="5" t="str">
        <f>IFERROR(VLOOKUP($C27,休日!$A:$B,2,FALSE),"")</f>
        <v/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8" t="str">
        <f t="shared" si="0"/>
        <v/>
      </c>
      <c r="C28" s="9">
        <f t="shared" si="1"/>
        <v>46131</v>
      </c>
      <c r="D28" s="10">
        <f t="shared" si="2"/>
        <v>46131</v>
      </c>
      <c r="E28" s="25"/>
      <c r="F28" s="26"/>
      <c r="G28" s="25"/>
      <c r="H28" s="26"/>
      <c r="I28" s="11" t="str">
        <f t="shared" si="3"/>
        <v/>
      </c>
      <c r="J28" s="12"/>
      <c r="K28" s="3"/>
      <c r="L28" s="3"/>
      <c r="M28" s="13">
        <v>1</v>
      </c>
      <c r="N28" s="5" t="str">
        <f>IFERROR(VLOOKUP($C28,休日!$A:$B,2,FALSE),"")</f>
        <v/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8" t="str">
        <f t="shared" si="0"/>
        <v/>
      </c>
      <c r="C29" s="9">
        <f t="shared" si="1"/>
        <v>46132</v>
      </c>
      <c r="D29" s="10">
        <f t="shared" si="2"/>
        <v>46132</v>
      </c>
      <c r="E29" s="25"/>
      <c r="F29" s="26"/>
      <c r="G29" s="25"/>
      <c r="H29" s="26"/>
      <c r="I29" s="11" t="str">
        <f t="shared" si="3"/>
        <v/>
      </c>
      <c r="J29" s="12"/>
      <c r="K29" s="3"/>
      <c r="L29" s="3"/>
      <c r="M29" s="13">
        <v>1</v>
      </c>
      <c r="N29" s="5" t="str">
        <f>IFERROR(VLOOKUP($C29,休日!$A:$B,2,FALSE),"")</f>
        <v/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8" t="str">
        <f t="shared" si="0"/>
        <v/>
      </c>
      <c r="C30" s="9">
        <f t="shared" si="1"/>
        <v>46133</v>
      </c>
      <c r="D30" s="10">
        <f t="shared" si="2"/>
        <v>46133</v>
      </c>
      <c r="E30" s="25"/>
      <c r="F30" s="26"/>
      <c r="G30" s="25"/>
      <c r="H30" s="26"/>
      <c r="I30" s="11" t="str">
        <f t="shared" si="3"/>
        <v/>
      </c>
      <c r="J30" s="12"/>
      <c r="K30" s="3"/>
      <c r="L30" s="3"/>
      <c r="M30" s="13">
        <v>1</v>
      </c>
      <c r="N30" s="5" t="str">
        <f>IFERROR(VLOOKUP($C30,休日!$A:$B,2,FALSE),"")</f>
        <v/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8" t="str">
        <f t="shared" si="0"/>
        <v/>
      </c>
      <c r="C31" s="9">
        <f t="shared" si="1"/>
        <v>46134</v>
      </c>
      <c r="D31" s="10">
        <f t="shared" si="2"/>
        <v>46134</v>
      </c>
      <c r="E31" s="25"/>
      <c r="F31" s="26"/>
      <c r="G31" s="25"/>
      <c r="H31" s="26"/>
      <c r="I31" s="11" t="str">
        <f t="shared" si="3"/>
        <v/>
      </c>
      <c r="J31" s="12"/>
      <c r="K31" s="3"/>
      <c r="L31" s="3"/>
      <c r="M31" s="13">
        <v>1</v>
      </c>
      <c r="N31" s="5" t="str">
        <f>IFERROR(VLOOKUP($C31,休日!$A:$B,2,FALSE),"")</f>
        <v/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8" t="str">
        <f t="shared" si="0"/>
        <v/>
      </c>
      <c r="C32" s="9">
        <f t="shared" si="1"/>
        <v>46135</v>
      </c>
      <c r="D32" s="10">
        <f t="shared" si="2"/>
        <v>46135</v>
      </c>
      <c r="E32" s="25"/>
      <c r="F32" s="26"/>
      <c r="G32" s="25"/>
      <c r="H32" s="26"/>
      <c r="I32" s="11" t="str">
        <f t="shared" si="3"/>
        <v/>
      </c>
      <c r="J32" s="12"/>
      <c r="K32" s="3"/>
      <c r="L32" s="3"/>
      <c r="M32" s="13">
        <v>1</v>
      </c>
      <c r="N32" s="5" t="str">
        <f>IFERROR(VLOOKUP($C32,休日!$A:$B,2,FALSE),"")</f>
        <v/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8" t="str">
        <f t="shared" si="0"/>
        <v/>
      </c>
      <c r="C33" s="9">
        <f t="shared" si="1"/>
        <v>46136</v>
      </c>
      <c r="D33" s="10">
        <f t="shared" si="2"/>
        <v>46136</v>
      </c>
      <c r="E33" s="25"/>
      <c r="F33" s="26"/>
      <c r="G33" s="25"/>
      <c r="H33" s="26"/>
      <c r="I33" s="11" t="str">
        <f t="shared" si="3"/>
        <v/>
      </c>
      <c r="J33" s="12"/>
      <c r="K33" s="3"/>
      <c r="L33" s="3"/>
      <c r="M33" s="13">
        <v>1</v>
      </c>
      <c r="N33" s="5" t="str">
        <f>IFERROR(VLOOKUP($C33,休日!$A:$B,2,FALSE),"")</f>
        <v/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8" t="str">
        <f t="shared" si="0"/>
        <v/>
      </c>
      <c r="C34" s="9">
        <f t="shared" si="1"/>
        <v>46137</v>
      </c>
      <c r="D34" s="10">
        <f t="shared" si="2"/>
        <v>46137</v>
      </c>
      <c r="E34" s="25"/>
      <c r="F34" s="26"/>
      <c r="G34" s="25"/>
      <c r="H34" s="26"/>
      <c r="I34" s="11" t="str">
        <f t="shared" si="3"/>
        <v/>
      </c>
      <c r="J34" s="12"/>
      <c r="K34" s="3"/>
      <c r="L34" s="3"/>
      <c r="M34" s="13">
        <v>1</v>
      </c>
      <c r="N34" s="5" t="str">
        <f>IFERROR(VLOOKUP($C34,休日!$A:$B,2,FALSE),"")</f>
        <v/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8" t="str">
        <f t="shared" si="0"/>
        <v/>
      </c>
      <c r="C35" s="9">
        <f t="shared" si="1"/>
        <v>46138</v>
      </c>
      <c r="D35" s="10">
        <f t="shared" si="2"/>
        <v>46138</v>
      </c>
      <c r="E35" s="25"/>
      <c r="F35" s="26"/>
      <c r="G35" s="25"/>
      <c r="H35" s="26"/>
      <c r="I35" s="11" t="str">
        <f t="shared" si="3"/>
        <v/>
      </c>
      <c r="J35" s="12"/>
      <c r="K35" s="3"/>
      <c r="L35" s="3"/>
      <c r="M35" s="13">
        <v>1</v>
      </c>
      <c r="N35" s="5" t="str">
        <f>IFERROR(VLOOKUP($C35,休日!$A:$B,2,FALSE),"")</f>
        <v/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8" t="str">
        <f t="shared" si="0"/>
        <v/>
      </c>
      <c r="C36" s="9">
        <f t="shared" si="1"/>
        <v>46139</v>
      </c>
      <c r="D36" s="10">
        <f t="shared" si="2"/>
        <v>46139</v>
      </c>
      <c r="E36" s="25"/>
      <c r="F36" s="26"/>
      <c r="G36" s="25"/>
      <c r="H36" s="26"/>
      <c r="I36" s="11" t="str">
        <f t="shared" si="3"/>
        <v/>
      </c>
      <c r="J36" s="12"/>
      <c r="K36" s="3"/>
      <c r="L36" s="3"/>
      <c r="M36" s="13">
        <v>1</v>
      </c>
      <c r="N36" s="5" t="str">
        <f>IFERROR(VLOOKUP($C36,休日!$A:$B,2,FALSE),"")</f>
        <v/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8" t="str">
        <f t="shared" si="0"/>
        <v/>
      </c>
      <c r="C37" s="9">
        <f t="shared" si="1"/>
        <v>46140</v>
      </c>
      <c r="D37" s="10">
        <f t="shared" si="2"/>
        <v>46140</v>
      </c>
      <c r="E37" s="25"/>
      <c r="F37" s="26"/>
      <c r="G37" s="25"/>
      <c r="H37" s="26"/>
      <c r="I37" s="11" t="str">
        <f t="shared" si="3"/>
        <v/>
      </c>
      <c r="J37" s="12"/>
      <c r="K37" s="3"/>
      <c r="L37" s="3"/>
      <c r="M37" s="13">
        <v>1</v>
      </c>
      <c r="N37" s="5" t="str">
        <f>IFERROR(VLOOKUP($C37,休日!$A:$B,2,FALSE),"")</f>
        <v/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8" t="str">
        <f t="shared" si="0"/>
        <v/>
      </c>
      <c r="C38" s="9">
        <f t="shared" si="1"/>
        <v>46141</v>
      </c>
      <c r="D38" s="10">
        <f t="shared" si="2"/>
        <v>46141</v>
      </c>
      <c r="E38" s="25"/>
      <c r="F38" s="26"/>
      <c r="G38" s="25"/>
      <c r="H38" s="26"/>
      <c r="I38" s="11" t="str">
        <f t="shared" si="3"/>
        <v/>
      </c>
      <c r="J38" s="12"/>
      <c r="K38" s="3"/>
      <c r="L38" s="3"/>
      <c r="M38" s="13">
        <v>1</v>
      </c>
      <c r="N38" s="5" t="str">
        <f>IFERROR(VLOOKUP($C38,休日!$A:$B,2,FALSE),"")</f>
        <v/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8" t="str">
        <f t="shared" si="0"/>
        <v/>
      </c>
      <c r="C39" s="9">
        <f t="shared" si="1"/>
        <v>46142</v>
      </c>
      <c r="D39" s="10">
        <f t="shared" si="2"/>
        <v>46142</v>
      </c>
      <c r="E39" s="25"/>
      <c r="F39" s="26"/>
      <c r="G39" s="25"/>
      <c r="H39" s="26"/>
      <c r="I39" s="11" t="str">
        <f t="shared" si="3"/>
        <v/>
      </c>
      <c r="J39" s="12"/>
      <c r="K39" s="3"/>
      <c r="L39" s="3"/>
      <c r="M39" s="13">
        <v>1</v>
      </c>
      <c r="N39" s="5" t="str">
        <f>IFERROR(VLOOKUP($C39,休日!$A:$B,2,FALSE),"")</f>
        <v/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 thickBot="1">
      <c r="A40" s="3"/>
      <c r="B40" s="15" t="str">
        <f t="shared" si="0"/>
        <v/>
      </c>
      <c r="C40" s="16" t="str">
        <f t="shared" si="1"/>
        <v/>
      </c>
      <c r="D40" s="14" t="str">
        <f t="shared" si="2"/>
        <v/>
      </c>
      <c r="E40" s="29"/>
      <c r="F40" s="30"/>
      <c r="G40" s="29"/>
      <c r="H40" s="30"/>
      <c r="I40" s="31" t="str">
        <f t="shared" si="3"/>
        <v/>
      </c>
      <c r="J40" s="17"/>
      <c r="K40" s="3"/>
      <c r="L40" s="3"/>
      <c r="M40" s="13">
        <v>1</v>
      </c>
      <c r="N40" s="5" t="str">
        <f>IFERROR(VLOOKUP($C40,休日!$A:$B,2,FALSE),"")</f>
        <v/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hidden="1" customHeight="1" outlineLevel="1">
      <c r="A41" s="3"/>
      <c r="B41" s="18" t="str">
        <f t="shared" si="0"/>
        <v/>
      </c>
      <c r="C41" s="19" t="str">
        <f t="shared" si="1"/>
        <v/>
      </c>
      <c r="D41" s="20" t="str">
        <f t="shared" si="2"/>
        <v/>
      </c>
      <c r="E41" s="21"/>
      <c r="F41" s="22"/>
      <c r="G41" s="21"/>
      <c r="H41" s="22"/>
      <c r="I41" s="23" t="str">
        <f t="shared" si="3"/>
        <v/>
      </c>
      <c r="J41" s="24"/>
      <c r="K41" s="3"/>
      <c r="L41" s="3"/>
      <c r="M41" s="13">
        <v>1</v>
      </c>
      <c r="N41" s="5" t="str">
        <f>IFERROR(VLOOKUP($C41,休日!$A:$B,2,FALSE),"")</f>
        <v/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hidden="1" customHeight="1" outlineLevel="1">
      <c r="A42" s="3"/>
      <c r="B42" s="8" t="str">
        <f t="shared" si="0"/>
        <v/>
      </c>
      <c r="C42" s="9" t="str">
        <f t="shared" si="1"/>
        <v/>
      </c>
      <c r="D42" s="10" t="str">
        <f t="shared" si="2"/>
        <v/>
      </c>
      <c r="E42" s="25"/>
      <c r="F42" s="26"/>
      <c r="G42" s="25"/>
      <c r="H42" s="26"/>
      <c r="I42" s="11" t="str">
        <f t="shared" si="3"/>
        <v/>
      </c>
      <c r="J42" s="12"/>
      <c r="K42" s="3"/>
      <c r="L42" s="3"/>
      <c r="M42" s="13">
        <v>1</v>
      </c>
      <c r="N42" s="5" t="str">
        <f>IFERROR(VLOOKUP($C42,休日!$A:$B,2,FALSE),"")</f>
        <v/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hidden="1" customHeight="1" outlineLevel="1">
      <c r="A43" s="3"/>
      <c r="B43" s="8" t="str">
        <f t="shared" si="0"/>
        <v/>
      </c>
      <c r="C43" s="9" t="str">
        <f t="shared" si="1"/>
        <v/>
      </c>
      <c r="D43" s="10" t="str">
        <f t="shared" si="2"/>
        <v/>
      </c>
      <c r="E43" s="25"/>
      <c r="F43" s="26"/>
      <c r="G43" s="25"/>
      <c r="H43" s="26"/>
      <c r="I43" s="11" t="str">
        <f t="shared" si="3"/>
        <v/>
      </c>
      <c r="J43" s="12"/>
      <c r="K43" s="3"/>
      <c r="L43" s="3"/>
      <c r="M43" s="13">
        <v>1</v>
      </c>
      <c r="N43" s="5" t="str">
        <f>IFERROR(VLOOKUP($C43,休日!$A:$B,2,FALSE),"")</f>
        <v/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hidden="1" customHeight="1" outlineLevel="1">
      <c r="A44" s="3"/>
      <c r="B44" s="8" t="str">
        <f t="shared" si="0"/>
        <v/>
      </c>
      <c r="C44" s="9" t="str">
        <f t="shared" si="1"/>
        <v/>
      </c>
      <c r="D44" s="10" t="str">
        <f t="shared" si="2"/>
        <v/>
      </c>
      <c r="E44" s="25"/>
      <c r="F44" s="26"/>
      <c r="G44" s="25"/>
      <c r="H44" s="26"/>
      <c r="I44" s="11" t="str">
        <f t="shared" si="3"/>
        <v/>
      </c>
      <c r="J44" s="12"/>
      <c r="K44" s="3"/>
      <c r="L44" s="3"/>
      <c r="M44" s="13">
        <v>1</v>
      </c>
      <c r="N44" s="5" t="str">
        <f>IFERROR(VLOOKUP($C44,休日!$A:$B,2,FALSE),"")</f>
        <v/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hidden="1" customHeight="1" outlineLevel="1">
      <c r="A45" s="3"/>
      <c r="B45" s="8" t="str">
        <f t="shared" si="0"/>
        <v/>
      </c>
      <c r="C45" s="9" t="str">
        <f t="shared" si="1"/>
        <v/>
      </c>
      <c r="D45" s="10" t="str">
        <f t="shared" si="2"/>
        <v/>
      </c>
      <c r="E45" s="25"/>
      <c r="F45" s="26"/>
      <c r="G45" s="25"/>
      <c r="H45" s="26"/>
      <c r="I45" s="11" t="str">
        <f t="shared" si="3"/>
        <v/>
      </c>
      <c r="J45" s="12"/>
      <c r="K45" s="3"/>
      <c r="L45" s="3"/>
      <c r="M45" s="13">
        <v>1</v>
      </c>
      <c r="N45" s="5" t="str">
        <f>IFERROR(VLOOKUP($C45,休日!$A:$B,2,FALSE),"")</f>
        <v/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hidden="1" customHeight="1" outlineLevel="1">
      <c r="A46" s="3"/>
      <c r="B46" s="8" t="str">
        <f t="shared" si="0"/>
        <v/>
      </c>
      <c r="C46" s="9" t="str">
        <f t="shared" si="1"/>
        <v/>
      </c>
      <c r="D46" s="10" t="str">
        <f t="shared" si="2"/>
        <v/>
      </c>
      <c r="E46" s="25"/>
      <c r="F46" s="26"/>
      <c r="G46" s="25"/>
      <c r="H46" s="26"/>
      <c r="I46" s="11" t="str">
        <f t="shared" si="3"/>
        <v/>
      </c>
      <c r="J46" s="12"/>
      <c r="K46" s="3"/>
      <c r="L46" s="3"/>
      <c r="M46" s="13">
        <v>1</v>
      </c>
      <c r="N46" s="5" t="str">
        <f>IFERROR(VLOOKUP($C46,休日!$A:$B,2,FALSE),"")</f>
        <v/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hidden="1" customHeight="1" outlineLevel="1">
      <c r="A47" s="3"/>
      <c r="B47" s="8" t="str">
        <f t="shared" si="0"/>
        <v/>
      </c>
      <c r="C47" s="9" t="str">
        <f t="shared" si="1"/>
        <v/>
      </c>
      <c r="D47" s="10" t="str">
        <f t="shared" si="2"/>
        <v/>
      </c>
      <c r="E47" s="25"/>
      <c r="F47" s="26"/>
      <c r="G47" s="25"/>
      <c r="H47" s="26"/>
      <c r="I47" s="11" t="str">
        <f t="shared" si="3"/>
        <v/>
      </c>
      <c r="J47" s="12"/>
      <c r="K47" s="3"/>
      <c r="L47" s="3"/>
      <c r="M47" s="13">
        <v>1</v>
      </c>
      <c r="N47" s="5" t="str">
        <f>IFERROR(VLOOKUP($C47,休日!$A:$B,2,FALSE),"")</f>
        <v/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hidden="1" customHeight="1" outlineLevel="1">
      <c r="A48" s="3"/>
      <c r="B48" s="8" t="str">
        <f t="shared" si="0"/>
        <v/>
      </c>
      <c r="C48" s="9" t="str">
        <f t="shared" si="1"/>
        <v/>
      </c>
      <c r="D48" s="10" t="str">
        <f t="shared" si="2"/>
        <v/>
      </c>
      <c r="E48" s="25"/>
      <c r="F48" s="26"/>
      <c r="G48" s="25"/>
      <c r="H48" s="26"/>
      <c r="I48" s="11" t="str">
        <f t="shared" si="3"/>
        <v/>
      </c>
      <c r="J48" s="12"/>
      <c r="K48" s="3"/>
      <c r="L48" s="3"/>
      <c r="M48" s="13">
        <v>1</v>
      </c>
      <c r="N48" s="5" t="str">
        <f>IFERROR(VLOOKUP($C48,休日!$A:$B,2,FALSE),"")</f>
        <v/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hidden="1" customHeight="1" outlineLevel="1">
      <c r="A49" s="3"/>
      <c r="B49" s="8" t="str">
        <f t="shared" si="0"/>
        <v/>
      </c>
      <c r="C49" s="9" t="str">
        <f t="shared" si="1"/>
        <v/>
      </c>
      <c r="D49" s="10" t="str">
        <f t="shared" si="2"/>
        <v/>
      </c>
      <c r="E49" s="25"/>
      <c r="F49" s="26"/>
      <c r="G49" s="25"/>
      <c r="H49" s="26"/>
      <c r="I49" s="11" t="str">
        <f t="shared" si="3"/>
        <v/>
      </c>
      <c r="J49" s="12"/>
      <c r="K49" s="3"/>
      <c r="L49" s="3"/>
      <c r="M49" s="13">
        <v>1</v>
      </c>
      <c r="N49" s="5" t="str">
        <f>IFERROR(VLOOKUP($C49,休日!$A:$B,2,FALSE),"")</f>
        <v/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hidden="1" customHeight="1" outlineLevel="1">
      <c r="A50" s="3"/>
      <c r="B50" s="8" t="str">
        <f t="shared" si="0"/>
        <v/>
      </c>
      <c r="C50" s="9" t="str">
        <f t="shared" si="1"/>
        <v/>
      </c>
      <c r="D50" s="10" t="str">
        <f t="shared" si="2"/>
        <v/>
      </c>
      <c r="E50" s="25"/>
      <c r="F50" s="26"/>
      <c r="G50" s="25"/>
      <c r="H50" s="26"/>
      <c r="I50" s="11" t="str">
        <f t="shared" si="3"/>
        <v/>
      </c>
      <c r="J50" s="12"/>
      <c r="K50" s="3"/>
      <c r="L50" s="3"/>
      <c r="M50" s="13">
        <v>1</v>
      </c>
      <c r="N50" s="5" t="str">
        <f>IFERROR(VLOOKUP($C50,休日!$A:$B,2,FALSE),"")</f>
        <v/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collapsed="1" thickTop="1" thickBot="1">
      <c r="A51" s="3"/>
      <c r="B51" s="52" t="s">
        <v>15</v>
      </c>
      <c r="C51" s="53"/>
      <c r="D51" s="53"/>
      <c r="E51" s="53"/>
      <c r="F51" s="53"/>
      <c r="G51" s="53"/>
      <c r="H51" s="54"/>
      <c r="I51" s="40">
        <f>SUM(I10:I50)</f>
        <v>0</v>
      </c>
      <c r="J51" s="27"/>
      <c r="K51" s="3"/>
      <c r="L51" s="3"/>
      <c r="M51" s="1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 thickTop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8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8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8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8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8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8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8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8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8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8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8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8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8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8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8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8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8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8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8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8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8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8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8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8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8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8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8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8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8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8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">
    <mergeCell ref="B51:H51"/>
    <mergeCell ref="B1:I1"/>
    <mergeCell ref="B2:D2"/>
    <mergeCell ref="E2:I2"/>
    <mergeCell ref="B4:D4"/>
    <mergeCell ref="E4:I4"/>
    <mergeCell ref="B6:D6"/>
    <mergeCell ref="E6:G6"/>
    <mergeCell ref="B8:D8"/>
    <mergeCell ref="E8:F8"/>
    <mergeCell ref="G8:H8"/>
    <mergeCell ref="I8:I9"/>
    <mergeCell ref="J8:J9"/>
  </mergeCells>
  <phoneticPr fontId="2"/>
  <conditionalFormatting sqref="B10:J50">
    <cfRule type="expression" dxfId="2" priority="1" stopIfTrue="1">
      <formula>OR(WEEKDAY($D10,2)=7,WEEKDAY($D10,2)=6,$N10&lt;&gt;"")</formula>
    </cfRule>
  </conditionalFormatting>
  <pageMargins left="0.59055118110236227" right="0.19685039370078741" top="0.39370078740157483" bottom="0.19685039370078741" header="0" footer="0"/>
  <pageSetup paperSize="9" scale="86" orientation="portrait" r:id="rId1"/>
  <headerFooter>
    <oddHeader>&amp;C作 業 実 施 報 告 書&amp;R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>
      <pane ySplit="9" topLeftCell="A10" activePane="bottomLeft" state="frozen"/>
      <selection pane="bottomLeft" activeCell="E18" sqref="E18"/>
    </sheetView>
  </sheetViews>
  <sheetFormatPr defaultColWidth="14.33203125" defaultRowHeight="15" customHeight="1" outlineLevelRow="1"/>
  <cols>
    <col min="1" max="1" width="1.6640625" style="4" customWidth="1"/>
    <col min="2" max="8" width="4.6640625" style="4" customWidth="1"/>
    <col min="9" max="9" width="11.44140625" style="4" customWidth="1"/>
    <col min="10" max="10" width="48.6640625" style="4" customWidth="1"/>
    <col min="11" max="12" width="1.21875" style="4" customWidth="1"/>
    <col min="13" max="13" width="5.109375" style="4" customWidth="1"/>
    <col min="14" max="26" width="8.77734375" style="4" customWidth="1"/>
    <col min="27" max="16384" width="14.33203125" style="4"/>
  </cols>
  <sheetData>
    <row r="1" spans="1:26" ht="37.200000000000003" customHeight="1">
      <c r="A1" s="3"/>
      <c r="B1" s="71" t="s">
        <v>34</v>
      </c>
      <c r="C1" s="71"/>
      <c r="D1" s="71"/>
      <c r="E1" s="71"/>
      <c r="F1" s="71"/>
      <c r="G1" s="71"/>
      <c r="H1" s="71"/>
      <c r="I1" s="71"/>
      <c r="J1" s="7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A2" s="3"/>
      <c r="B2" s="56" t="s">
        <v>0</v>
      </c>
      <c r="C2" s="57"/>
      <c r="D2" s="58"/>
      <c r="E2" s="62" t="s">
        <v>19</v>
      </c>
      <c r="F2" s="63"/>
      <c r="G2" s="63"/>
      <c r="H2" s="63"/>
      <c r="I2" s="64"/>
      <c r="J2" s="42" t="s">
        <v>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600000000000001" hidden="1" customHeight="1">
      <c r="A3" s="3"/>
      <c r="B3" s="38"/>
      <c r="C3" s="38"/>
      <c r="D3" s="38"/>
      <c r="E3" s="3"/>
      <c r="F3" s="3"/>
      <c r="G3" s="3"/>
      <c r="H3" s="3"/>
      <c r="I3" s="3"/>
      <c r="J3" s="2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3"/>
      <c r="B4" s="56" t="s">
        <v>1</v>
      </c>
      <c r="C4" s="57"/>
      <c r="D4" s="58"/>
      <c r="E4" s="62" t="s">
        <v>20</v>
      </c>
      <c r="F4" s="63"/>
      <c r="G4" s="63"/>
      <c r="H4" s="63"/>
      <c r="I4" s="6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600000000000001" hidden="1" customHeight="1">
      <c r="A5" s="3"/>
      <c r="B5" s="39"/>
      <c r="C5" s="38"/>
      <c r="D5" s="3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3"/>
      <c r="B6" s="65" t="s">
        <v>2</v>
      </c>
      <c r="C6" s="66"/>
      <c r="D6" s="67"/>
      <c r="E6" s="72">
        <v>46082</v>
      </c>
      <c r="F6" s="73"/>
      <c r="G6" s="74"/>
      <c r="H6" s="32" t="s">
        <v>3</v>
      </c>
      <c r="I6" s="33">
        <f>DATE(YEAR($E6),MONTH($E6)+1,$N6)</f>
        <v>46112</v>
      </c>
      <c r="J6" s="43" t="s">
        <v>26</v>
      </c>
      <c r="K6" s="3"/>
      <c r="L6" s="3"/>
      <c r="M6" s="3" t="s">
        <v>4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>
      <c r="A7" s="5"/>
      <c r="B7" s="6"/>
      <c r="C7" s="5"/>
      <c r="D7" s="5"/>
      <c r="E7" s="3"/>
      <c r="F7" s="3"/>
      <c r="G7" s="3"/>
      <c r="H7" s="3"/>
      <c r="I7" s="3"/>
      <c r="J7" s="44" t="s">
        <v>27</v>
      </c>
      <c r="K7" s="3"/>
      <c r="L7" s="3"/>
      <c r="M7" s="3"/>
      <c r="N7" s="3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>
      <c r="A8" s="3"/>
      <c r="B8" s="46" t="s">
        <v>5</v>
      </c>
      <c r="C8" s="47"/>
      <c r="D8" s="48"/>
      <c r="E8" s="49" t="s">
        <v>6</v>
      </c>
      <c r="F8" s="48"/>
      <c r="G8" s="49" t="s">
        <v>7</v>
      </c>
      <c r="H8" s="48"/>
      <c r="I8" s="50" t="s">
        <v>8</v>
      </c>
      <c r="J8" s="50" t="s">
        <v>18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3"/>
      <c r="B9" s="34" t="s">
        <v>9</v>
      </c>
      <c r="C9" s="35" t="s">
        <v>10</v>
      </c>
      <c r="D9" s="41" t="s">
        <v>17</v>
      </c>
      <c r="E9" s="37" t="s">
        <v>11</v>
      </c>
      <c r="F9" s="36" t="s">
        <v>12</v>
      </c>
      <c r="G9" s="37" t="s">
        <v>11</v>
      </c>
      <c r="H9" s="36" t="s">
        <v>12</v>
      </c>
      <c r="I9" s="51"/>
      <c r="J9" s="51"/>
      <c r="K9" s="3"/>
      <c r="L9" s="3"/>
      <c r="M9" s="3" t="s">
        <v>13</v>
      </c>
      <c r="N9" s="3" t="s">
        <v>14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>
      <c r="A10" s="3"/>
      <c r="B10" s="8">
        <f t="shared" ref="B10:B50" si="0">IF($C10="","",IF(OR($C10=$E$6,DAY($C10)=1),MONTH($C10),""))</f>
        <v>3</v>
      </c>
      <c r="C10" s="9">
        <f t="shared" ref="C10:C50" si="1">IF($E$6+ROW()-ROW($10:$10)&gt;$I$6,"",$E$6+ROW()-ROW($10:$10))</f>
        <v>46082</v>
      </c>
      <c r="D10" s="10">
        <f t="shared" ref="D10:D50" si="2">$C10</f>
        <v>46082</v>
      </c>
      <c r="E10" s="25"/>
      <c r="F10" s="26"/>
      <c r="G10" s="25"/>
      <c r="H10" s="26"/>
      <c r="I10" s="11" t="str">
        <f t="shared" ref="I10:I50" si="3">IF($G10="","",($G10+$H10/60)-($E10+$F10/60)-$M10)</f>
        <v/>
      </c>
      <c r="J10" s="12"/>
      <c r="K10" s="3"/>
      <c r="L10" s="3"/>
      <c r="M10" s="13">
        <v>1</v>
      </c>
      <c r="N10" s="5" t="str">
        <f>IFERROR(VLOOKUP($C10,休日!$A:$B,2,FALSE),"")</f>
        <v/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8" t="str">
        <f t="shared" si="0"/>
        <v/>
      </c>
      <c r="C11" s="9">
        <f t="shared" si="1"/>
        <v>46083</v>
      </c>
      <c r="D11" s="10">
        <f t="shared" si="2"/>
        <v>46083</v>
      </c>
      <c r="E11" s="25" t="s">
        <v>24</v>
      </c>
      <c r="F11" s="26" t="s">
        <v>23</v>
      </c>
      <c r="G11" s="25" t="s">
        <v>25</v>
      </c>
      <c r="H11" s="26" t="s">
        <v>23</v>
      </c>
      <c r="I11" s="11">
        <f t="shared" si="3"/>
        <v>8</v>
      </c>
      <c r="J11" s="12" t="s">
        <v>28</v>
      </c>
      <c r="K11" s="3"/>
      <c r="L11" s="3"/>
      <c r="M11" s="13">
        <v>1</v>
      </c>
      <c r="N11" s="5" t="str">
        <f>IFERROR(VLOOKUP($C11,休日!$A:$B,2,FALSE),"")</f>
        <v/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8" t="str">
        <f t="shared" si="0"/>
        <v/>
      </c>
      <c r="C12" s="9">
        <f t="shared" si="1"/>
        <v>46084</v>
      </c>
      <c r="D12" s="10">
        <f t="shared" si="2"/>
        <v>46084</v>
      </c>
      <c r="E12" s="25" t="s">
        <v>24</v>
      </c>
      <c r="F12" s="26" t="s">
        <v>23</v>
      </c>
      <c r="G12" s="25" t="s">
        <v>25</v>
      </c>
      <c r="H12" s="26" t="s">
        <v>22</v>
      </c>
      <c r="I12" s="11">
        <f t="shared" si="3"/>
        <v>8.5</v>
      </c>
      <c r="J12" s="12" t="s">
        <v>29</v>
      </c>
      <c r="K12" s="3"/>
      <c r="L12" s="3"/>
      <c r="M12" s="13">
        <v>1</v>
      </c>
      <c r="N12" s="5" t="str">
        <f>IFERROR(VLOOKUP($C12,休日!$A:$B,2,FALSE),"")</f>
        <v/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8" t="str">
        <f t="shared" si="0"/>
        <v/>
      </c>
      <c r="C13" s="9">
        <f t="shared" si="1"/>
        <v>46085</v>
      </c>
      <c r="D13" s="10">
        <f t="shared" si="2"/>
        <v>46085</v>
      </c>
      <c r="E13" s="25"/>
      <c r="F13" s="26"/>
      <c r="G13" s="25"/>
      <c r="H13" s="26"/>
      <c r="I13" s="11" t="str">
        <f t="shared" si="3"/>
        <v/>
      </c>
      <c r="J13" s="12" t="s">
        <v>31</v>
      </c>
      <c r="K13" s="3"/>
      <c r="L13" s="3"/>
      <c r="M13" s="13">
        <v>1</v>
      </c>
      <c r="N13" s="5" t="str">
        <f>IFERROR(VLOOKUP($C13,休日!$A:$B,2,FALSE),"")</f>
        <v/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8" t="str">
        <f t="shared" si="0"/>
        <v/>
      </c>
      <c r="C14" s="9">
        <f t="shared" si="1"/>
        <v>46086</v>
      </c>
      <c r="D14" s="10">
        <f t="shared" si="2"/>
        <v>46086</v>
      </c>
      <c r="E14" s="25" t="s">
        <v>24</v>
      </c>
      <c r="F14" s="26" t="s">
        <v>22</v>
      </c>
      <c r="G14" s="25" t="s">
        <v>25</v>
      </c>
      <c r="H14" s="26" t="s">
        <v>23</v>
      </c>
      <c r="I14" s="11">
        <f t="shared" si="3"/>
        <v>7.5</v>
      </c>
      <c r="J14" s="12" t="s">
        <v>30</v>
      </c>
      <c r="K14" s="3"/>
      <c r="L14" s="3"/>
      <c r="M14" s="13">
        <v>1</v>
      </c>
      <c r="N14" s="5" t="str">
        <f>IFERROR(VLOOKUP($C14,休日!$A:$B,2,FALSE),"")</f>
        <v/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8" t="str">
        <f t="shared" si="0"/>
        <v/>
      </c>
      <c r="C15" s="9">
        <f t="shared" si="1"/>
        <v>46087</v>
      </c>
      <c r="D15" s="10">
        <f t="shared" si="2"/>
        <v>46087</v>
      </c>
      <c r="E15" s="25"/>
      <c r="F15" s="26"/>
      <c r="G15" s="25"/>
      <c r="H15" s="26"/>
      <c r="I15" s="11" t="str">
        <f t="shared" si="3"/>
        <v/>
      </c>
      <c r="J15" s="12" t="s">
        <v>32</v>
      </c>
      <c r="K15" s="3"/>
      <c r="L15" s="3"/>
      <c r="M15" s="13">
        <v>1</v>
      </c>
      <c r="N15" s="5" t="str">
        <f>IFERROR(VLOOKUP($C15,休日!$A:$B,2,FALSE),"")</f>
        <v/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8" t="str">
        <f t="shared" si="0"/>
        <v/>
      </c>
      <c r="C16" s="9">
        <f t="shared" si="1"/>
        <v>46088</v>
      </c>
      <c r="D16" s="10">
        <f t="shared" si="2"/>
        <v>46088</v>
      </c>
      <c r="E16" s="25"/>
      <c r="F16" s="26"/>
      <c r="G16" s="25"/>
      <c r="H16" s="26"/>
      <c r="I16" s="11" t="str">
        <f t="shared" si="3"/>
        <v/>
      </c>
      <c r="J16" s="12"/>
      <c r="K16" s="3"/>
      <c r="L16" s="3"/>
      <c r="M16" s="13">
        <v>1</v>
      </c>
      <c r="N16" s="5" t="str">
        <f>IFERROR(VLOOKUP($C16,休日!$A:$B,2,FALSE),"")</f>
        <v/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8" t="str">
        <f t="shared" si="0"/>
        <v/>
      </c>
      <c r="C17" s="9">
        <f t="shared" si="1"/>
        <v>46089</v>
      </c>
      <c r="D17" s="10">
        <f t="shared" si="2"/>
        <v>46089</v>
      </c>
      <c r="E17" s="25"/>
      <c r="F17" s="26"/>
      <c r="G17" s="25"/>
      <c r="H17" s="26"/>
      <c r="I17" s="11" t="str">
        <f t="shared" si="3"/>
        <v/>
      </c>
      <c r="J17" s="45" t="s">
        <v>33</v>
      </c>
      <c r="K17" s="3"/>
      <c r="L17" s="3"/>
      <c r="M17" s="13">
        <v>1</v>
      </c>
      <c r="N17" s="5" t="str">
        <f>IFERROR(VLOOKUP($C17,休日!$A:$B,2,FALSE),"")</f>
        <v/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8" t="str">
        <f t="shared" si="0"/>
        <v/>
      </c>
      <c r="C18" s="9">
        <f t="shared" si="1"/>
        <v>46090</v>
      </c>
      <c r="D18" s="10">
        <f t="shared" si="2"/>
        <v>46090</v>
      </c>
      <c r="E18" s="25"/>
      <c r="F18" s="26"/>
      <c r="G18" s="25"/>
      <c r="H18" s="26"/>
      <c r="I18" s="11" t="str">
        <f t="shared" si="3"/>
        <v/>
      </c>
      <c r="J18" s="12"/>
      <c r="K18" s="3"/>
      <c r="L18" s="3"/>
      <c r="M18" s="13">
        <v>1</v>
      </c>
      <c r="N18" s="5" t="str">
        <f>IFERROR(VLOOKUP($C18,休日!$A:$B,2,FALSE),"")</f>
        <v/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8" t="str">
        <f t="shared" si="0"/>
        <v/>
      </c>
      <c r="C19" s="9">
        <f t="shared" si="1"/>
        <v>46091</v>
      </c>
      <c r="D19" s="10">
        <f t="shared" si="2"/>
        <v>46091</v>
      </c>
      <c r="E19" s="25"/>
      <c r="F19" s="26"/>
      <c r="G19" s="25"/>
      <c r="H19" s="26"/>
      <c r="I19" s="11" t="str">
        <f t="shared" si="3"/>
        <v/>
      </c>
      <c r="J19" s="12"/>
      <c r="K19" s="3"/>
      <c r="L19" s="3"/>
      <c r="M19" s="13">
        <v>1</v>
      </c>
      <c r="N19" s="5" t="str">
        <f>IFERROR(VLOOKUP($C19,休日!$A:$B,2,FALSE),"")</f>
        <v/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8" t="str">
        <f t="shared" si="0"/>
        <v/>
      </c>
      <c r="C20" s="9">
        <f t="shared" si="1"/>
        <v>46092</v>
      </c>
      <c r="D20" s="10">
        <f t="shared" si="2"/>
        <v>46092</v>
      </c>
      <c r="E20" s="25"/>
      <c r="F20" s="26"/>
      <c r="G20" s="25"/>
      <c r="H20" s="26"/>
      <c r="I20" s="11" t="str">
        <f t="shared" si="3"/>
        <v/>
      </c>
      <c r="J20" s="12"/>
      <c r="K20" s="3"/>
      <c r="L20" s="3"/>
      <c r="M20" s="13">
        <v>1</v>
      </c>
      <c r="N20" s="5" t="str">
        <f>IFERROR(VLOOKUP($C20,休日!$A:$B,2,FALSE),"")</f>
        <v/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8" t="str">
        <f t="shared" si="0"/>
        <v/>
      </c>
      <c r="C21" s="9">
        <f t="shared" si="1"/>
        <v>46093</v>
      </c>
      <c r="D21" s="10">
        <f t="shared" si="2"/>
        <v>46093</v>
      </c>
      <c r="E21" s="25"/>
      <c r="F21" s="26"/>
      <c r="G21" s="25"/>
      <c r="H21" s="26"/>
      <c r="I21" s="11" t="str">
        <f t="shared" si="3"/>
        <v/>
      </c>
      <c r="J21" s="12"/>
      <c r="K21" s="3"/>
      <c r="L21" s="3"/>
      <c r="M21" s="13">
        <v>1</v>
      </c>
      <c r="N21" s="5" t="str">
        <f>IFERROR(VLOOKUP($C21,休日!$A:$B,2,FALSE),"")</f>
        <v/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8" t="str">
        <f t="shared" si="0"/>
        <v/>
      </c>
      <c r="C22" s="9">
        <f t="shared" si="1"/>
        <v>46094</v>
      </c>
      <c r="D22" s="10">
        <f t="shared" si="2"/>
        <v>46094</v>
      </c>
      <c r="E22" s="25"/>
      <c r="F22" s="26"/>
      <c r="G22" s="25"/>
      <c r="H22" s="26"/>
      <c r="I22" s="11" t="str">
        <f t="shared" si="3"/>
        <v/>
      </c>
      <c r="J22" s="12"/>
      <c r="K22" s="3"/>
      <c r="L22" s="3"/>
      <c r="M22" s="13">
        <v>1</v>
      </c>
      <c r="N22" s="5" t="str">
        <f>IFERROR(VLOOKUP($C22,休日!$A:$B,2,FALSE),"")</f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8" t="str">
        <f t="shared" si="0"/>
        <v/>
      </c>
      <c r="C23" s="9">
        <f t="shared" si="1"/>
        <v>46095</v>
      </c>
      <c r="D23" s="10">
        <f t="shared" si="2"/>
        <v>46095</v>
      </c>
      <c r="E23" s="25"/>
      <c r="F23" s="26"/>
      <c r="G23" s="25"/>
      <c r="H23" s="26"/>
      <c r="I23" s="11" t="str">
        <f t="shared" si="3"/>
        <v/>
      </c>
      <c r="J23" s="12"/>
      <c r="K23" s="3"/>
      <c r="L23" s="3"/>
      <c r="M23" s="13">
        <v>1</v>
      </c>
      <c r="N23" s="5" t="str">
        <f>IFERROR(VLOOKUP($C23,休日!$A:$B,2,FALSE),"")</f>
        <v/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8" t="str">
        <f t="shared" si="0"/>
        <v/>
      </c>
      <c r="C24" s="9">
        <f t="shared" si="1"/>
        <v>46096</v>
      </c>
      <c r="D24" s="10">
        <f t="shared" si="2"/>
        <v>46096</v>
      </c>
      <c r="E24" s="25"/>
      <c r="F24" s="26"/>
      <c r="G24" s="25"/>
      <c r="H24" s="26"/>
      <c r="I24" s="11" t="str">
        <f t="shared" si="3"/>
        <v/>
      </c>
      <c r="J24" s="12"/>
      <c r="K24" s="3"/>
      <c r="L24" s="3"/>
      <c r="M24" s="13">
        <v>1</v>
      </c>
      <c r="N24" s="5" t="str">
        <f>IFERROR(VLOOKUP($C24,休日!$A:$B,2,FALSE),"")</f>
        <v/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8" t="str">
        <f t="shared" si="0"/>
        <v/>
      </c>
      <c r="C25" s="9">
        <f t="shared" si="1"/>
        <v>46097</v>
      </c>
      <c r="D25" s="10">
        <f t="shared" si="2"/>
        <v>46097</v>
      </c>
      <c r="E25" s="25"/>
      <c r="F25" s="26"/>
      <c r="G25" s="25"/>
      <c r="H25" s="26"/>
      <c r="I25" s="11" t="str">
        <f t="shared" si="3"/>
        <v/>
      </c>
      <c r="J25" s="12"/>
      <c r="K25" s="3"/>
      <c r="L25" s="3"/>
      <c r="M25" s="13">
        <v>1</v>
      </c>
      <c r="N25" s="5" t="str">
        <f>IFERROR(VLOOKUP($C25,休日!$A:$B,2,FALSE),"")</f>
        <v/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8" t="str">
        <f t="shared" si="0"/>
        <v/>
      </c>
      <c r="C26" s="9">
        <f t="shared" si="1"/>
        <v>46098</v>
      </c>
      <c r="D26" s="10">
        <f t="shared" si="2"/>
        <v>46098</v>
      </c>
      <c r="E26" s="25"/>
      <c r="F26" s="26"/>
      <c r="G26" s="25"/>
      <c r="H26" s="26"/>
      <c r="I26" s="11" t="str">
        <f t="shared" si="3"/>
        <v/>
      </c>
      <c r="J26" s="12"/>
      <c r="K26" s="3"/>
      <c r="L26" s="3"/>
      <c r="M26" s="13">
        <v>1</v>
      </c>
      <c r="N26" s="5" t="str">
        <f>IFERROR(VLOOKUP($C26,休日!$A:$B,2,FALSE),"")</f>
        <v/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8" t="str">
        <f t="shared" si="0"/>
        <v/>
      </c>
      <c r="C27" s="9">
        <f t="shared" si="1"/>
        <v>46099</v>
      </c>
      <c r="D27" s="10">
        <f t="shared" si="2"/>
        <v>46099</v>
      </c>
      <c r="E27" s="25"/>
      <c r="F27" s="26"/>
      <c r="G27" s="25"/>
      <c r="H27" s="26"/>
      <c r="I27" s="11" t="str">
        <f t="shared" si="3"/>
        <v/>
      </c>
      <c r="J27" s="12"/>
      <c r="K27" s="3"/>
      <c r="L27" s="3"/>
      <c r="M27" s="13">
        <v>1</v>
      </c>
      <c r="N27" s="5" t="str">
        <f>IFERROR(VLOOKUP($C27,休日!$A:$B,2,FALSE),"")</f>
        <v/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8" t="str">
        <f t="shared" si="0"/>
        <v/>
      </c>
      <c r="C28" s="9">
        <f t="shared" si="1"/>
        <v>46100</v>
      </c>
      <c r="D28" s="10">
        <f t="shared" si="2"/>
        <v>46100</v>
      </c>
      <c r="E28" s="25"/>
      <c r="F28" s="26"/>
      <c r="G28" s="25"/>
      <c r="H28" s="26"/>
      <c r="I28" s="11" t="str">
        <f t="shared" si="3"/>
        <v/>
      </c>
      <c r="J28" s="12"/>
      <c r="K28" s="3"/>
      <c r="L28" s="3"/>
      <c r="M28" s="13">
        <v>1</v>
      </c>
      <c r="N28" s="5" t="str">
        <f>IFERROR(VLOOKUP($C28,休日!$A:$B,2,FALSE),"")</f>
        <v/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8" t="str">
        <f t="shared" si="0"/>
        <v/>
      </c>
      <c r="C29" s="9">
        <f t="shared" si="1"/>
        <v>46101</v>
      </c>
      <c r="D29" s="10">
        <f t="shared" si="2"/>
        <v>46101</v>
      </c>
      <c r="E29" s="25"/>
      <c r="F29" s="26"/>
      <c r="G29" s="25"/>
      <c r="H29" s="26"/>
      <c r="I29" s="11" t="str">
        <f t="shared" si="3"/>
        <v/>
      </c>
      <c r="J29" s="12"/>
      <c r="K29" s="3"/>
      <c r="L29" s="3"/>
      <c r="M29" s="13">
        <v>1</v>
      </c>
      <c r="N29" s="5" t="str">
        <f>IFERROR(VLOOKUP($C29,休日!$A:$B,2,FALSE),"")</f>
        <v/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8" t="str">
        <f t="shared" si="0"/>
        <v/>
      </c>
      <c r="C30" s="9">
        <f t="shared" si="1"/>
        <v>46102</v>
      </c>
      <c r="D30" s="10">
        <f t="shared" si="2"/>
        <v>46102</v>
      </c>
      <c r="E30" s="25"/>
      <c r="F30" s="26"/>
      <c r="G30" s="25"/>
      <c r="H30" s="26"/>
      <c r="I30" s="11" t="str">
        <f t="shared" si="3"/>
        <v/>
      </c>
      <c r="J30" s="12"/>
      <c r="K30" s="3"/>
      <c r="L30" s="3"/>
      <c r="M30" s="13">
        <v>1</v>
      </c>
      <c r="N30" s="5" t="str">
        <f>IFERROR(VLOOKUP($C30,休日!$A:$B,2,FALSE),"")</f>
        <v/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8" t="str">
        <f t="shared" si="0"/>
        <v/>
      </c>
      <c r="C31" s="9">
        <f t="shared" si="1"/>
        <v>46103</v>
      </c>
      <c r="D31" s="10">
        <f t="shared" si="2"/>
        <v>46103</v>
      </c>
      <c r="E31" s="25"/>
      <c r="F31" s="26"/>
      <c r="G31" s="25"/>
      <c r="H31" s="26"/>
      <c r="I31" s="11" t="str">
        <f t="shared" si="3"/>
        <v/>
      </c>
      <c r="J31" s="12"/>
      <c r="K31" s="3"/>
      <c r="L31" s="3"/>
      <c r="M31" s="13">
        <v>1</v>
      </c>
      <c r="N31" s="5" t="str">
        <f>IFERROR(VLOOKUP($C31,休日!$A:$B,2,FALSE),"")</f>
        <v/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8" t="str">
        <f t="shared" si="0"/>
        <v/>
      </c>
      <c r="C32" s="9">
        <f t="shared" si="1"/>
        <v>46104</v>
      </c>
      <c r="D32" s="10">
        <f t="shared" si="2"/>
        <v>46104</v>
      </c>
      <c r="E32" s="25"/>
      <c r="F32" s="26"/>
      <c r="G32" s="25"/>
      <c r="H32" s="26"/>
      <c r="I32" s="11" t="str">
        <f t="shared" si="3"/>
        <v/>
      </c>
      <c r="J32" s="12"/>
      <c r="K32" s="3"/>
      <c r="L32" s="3"/>
      <c r="M32" s="13">
        <v>1</v>
      </c>
      <c r="N32" s="5" t="str">
        <f>IFERROR(VLOOKUP($C32,休日!$A:$B,2,FALSE),"")</f>
        <v/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8" t="str">
        <f t="shared" si="0"/>
        <v/>
      </c>
      <c r="C33" s="9">
        <f t="shared" si="1"/>
        <v>46105</v>
      </c>
      <c r="D33" s="10">
        <f t="shared" si="2"/>
        <v>46105</v>
      </c>
      <c r="E33" s="25"/>
      <c r="F33" s="26"/>
      <c r="G33" s="25"/>
      <c r="H33" s="26"/>
      <c r="I33" s="11" t="str">
        <f t="shared" si="3"/>
        <v/>
      </c>
      <c r="J33" s="12"/>
      <c r="K33" s="3"/>
      <c r="L33" s="3"/>
      <c r="M33" s="13">
        <v>1</v>
      </c>
      <c r="N33" s="5" t="str">
        <f>IFERROR(VLOOKUP($C33,休日!$A:$B,2,FALSE),"")</f>
        <v/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8" t="str">
        <f t="shared" si="0"/>
        <v/>
      </c>
      <c r="C34" s="9">
        <f t="shared" si="1"/>
        <v>46106</v>
      </c>
      <c r="D34" s="10">
        <f t="shared" si="2"/>
        <v>46106</v>
      </c>
      <c r="E34" s="25"/>
      <c r="F34" s="26"/>
      <c r="G34" s="25"/>
      <c r="H34" s="26"/>
      <c r="I34" s="11" t="str">
        <f t="shared" si="3"/>
        <v/>
      </c>
      <c r="J34" s="12"/>
      <c r="K34" s="3"/>
      <c r="L34" s="3"/>
      <c r="M34" s="13">
        <v>1</v>
      </c>
      <c r="N34" s="5" t="str">
        <f>IFERROR(VLOOKUP($C34,休日!$A:$B,2,FALSE),"")</f>
        <v/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8" t="str">
        <f t="shared" si="0"/>
        <v/>
      </c>
      <c r="C35" s="9">
        <f t="shared" si="1"/>
        <v>46107</v>
      </c>
      <c r="D35" s="10">
        <f t="shared" si="2"/>
        <v>46107</v>
      </c>
      <c r="E35" s="25"/>
      <c r="F35" s="26"/>
      <c r="G35" s="25"/>
      <c r="H35" s="26"/>
      <c r="I35" s="11" t="str">
        <f t="shared" si="3"/>
        <v/>
      </c>
      <c r="J35" s="12"/>
      <c r="K35" s="3"/>
      <c r="L35" s="3"/>
      <c r="M35" s="13">
        <v>1</v>
      </c>
      <c r="N35" s="5" t="str">
        <f>IFERROR(VLOOKUP($C35,休日!$A:$B,2,FALSE),"")</f>
        <v/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8" t="str">
        <f t="shared" si="0"/>
        <v/>
      </c>
      <c r="C36" s="9">
        <f t="shared" si="1"/>
        <v>46108</v>
      </c>
      <c r="D36" s="10">
        <f t="shared" si="2"/>
        <v>46108</v>
      </c>
      <c r="E36" s="25"/>
      <c r="F36" s="26"/>
      <c r="G36" s="25"/>
      <c r="H36" s="26"/>
      <c r="I36" s="11" t="str">
        <f t="shared" si="3"/>
        <v/>
      </c>
      <c r="J36" s="12"/>
      <c r="K36" s="3"/>
      <c r="L36" s="3"/>
      <c r="M36" s="13">
        <v>1</v>
      </c>
      <c r="N36" s="5" t="str">
        <f>IFERROR(VLOOKUP($C36,休日!$A:$B,2,FALSE),"")</f>
        <v/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8" t="str">
        <f t="shared" si="0"/>
        <v/>
      </c>
      <c r="C37" s="9">
        <f t="shared" si="1"/>
        <v>46109</v>
      </c>
      <c r="D37" s="10">
        <f t="shared" si="2"/>
        <v>46109</v>
      </c>
      <c r="E37" s="25"/>
      <c r="F37" s="26"/>
      <c r="G37" s="25"/>
      <c r="H37" s="26"/>
      <c r="I37" s="11" t="str">
        <f t="shared" si="3"/>
        <v/>
      </c>
      <c r="J37" s="12"/>
      <c r="K37" s="3"/>
      <c r="L37" s="3"/>
      <c r="M37" s="13">
        <v>1</v>
      </c>
      <c r="N37" s="5" t="str">
        <f>IFERROR(VLOOKUP($C37,休日!$A:$B,2,FALSE),"")</f>
        <v/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8" t="str">
        <f t="shared" si="0"/>
        <v/>
      </c>
      <c r="C38" s="9">
        <f t="shared" si="1"/>
        <v>46110</v>
      </c>
      <c r="D38" s="10">
        <f t="shared" si="2"/>
        <v>46110</v>
      </c>
      <c r="E38" s="25"/>
      <c r="F38" s="26"/>
      <c r="G38" s="25"/>
      <c r="H38" s="26"/>
      <c r="I38" s="11" t="str">
        <f t="shared" si="3"/>
        <v/>
      </c>
      <c r="J38" s="12"/>
      <c r="K38" s="3"/>
      <c r="L38" s="3"/>
      <c r="M38" s="13">
        <v>1</v>
      </c>
      <c r="N38" s="5" t="str">
        <f>IFERROR(VLOOKUP($C38,休日!$A:$B,2,FALSE),"")</f>
        <v/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8" t="str">
        <f t="shared" si="0"/>
        <v/>
      </c>
      <c r="C39" s="9">
        <f t="shared" si="1"/>
        <v>46111</v>
      </c>
      <c r="D39" s="10">
        <f t="shared" si="2"/>
        <v>46111</v>
      </c>
      <c r="E39" s="25"/>
      <c r="F39" s="26"/>
      <c r="G39" s="25"/>
      <c r="H39" s="26"/>
      <c r="I39" s="11" t="str">
        <f t="shared" si="3"/>
        <v/>
      </c>
      <c r="J39" s="12"/>
      <c r="K39" s="3"/>
      <c r="L39" s="3"/>
      <c r="M39" s="13">
        <v>1</v>
      </c>
      <c r="N39" s="5" t="str">
        <f>IFERROR(VLOOKUP($C39,休日!$A:$B,2,FALSE),"")</f>
        <v/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>
      <c r="A40" s="3"/>
      <c r="B40" s="15" t="str">
        <f t="shared" si="0"/>
        <v/>
      </c>
      <c r="C40" s="16">
        <f t="shared" si="1"/>
        <v>46112</v>
      </c>
      <c r="D40" s="14">
        <f t="shared" si="2"/>
        <v>46112</v>
      </c>
      <c r="E40" s="29"/>
      <c r="F40" s="30"/>
      <c r="G40" s="29"/>
      <c r="H40" s="30"/>
      <c r="I40" s="31" t="str">
        <f t="shared" si="3"/>
        <v/>
      </c>
      <c r="J40" s="17"/>
      <c r="K40" s="3"/>
      <c r="L40" s="3"/>
      <c r="M40" s="13">
        <v>1</v>
      </c>
      <c r="N40" s="5" t="str">
        <f>IFERROR(VLOOKUP($C40,休日!$A:$B,2,FALSE),"")</f>
        <v/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hidden="1" customHeight="1" outlineLevel="1">
      <c r="A41" s="3"/>
      <c r="B41" s="18" t="str">
        <f t="shared" si="0"/>
        <v/>
      </c>
      <c r="C41" s="19" t="str">
        <f t="shared" si="1"/>
        <v/>
      </c>
      <c r="D41" s="20" t="str">
        <f t="shared" si="2"/>
        <v/>
      </c>
      <c r="E41" s="21"/>
      <c r="F41" s="22"/>
      <c r="G41" s="21"/>
      <c r="H41" s="22"/>
      <c r="I41" s="23" t="str">
        <f t="shared" si="3"/>
        <v/>
      </c>
      <c r="J41" s="24"/>
      <c r="K41" s="3"/>
      <c r="L41" s="3"/>
      <c r="M41" s="13">
        <v>1</v>
      </c>
      <c r="N41" s="5" t="str">
        <f>IFERROR(VLOOKUP($C41,休日!$A:$B,2,FALSE),"")</f>
        <v/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hidden="1" customHeight="1" outlineLevel="1">
      <c r="A42" s="3"/>
      <c r="B42" s="8" t="str">
        <f t="shared" si="0"/>
        <v/>
      </c>
      <c r="C42" s="9" t="str">
        <f t="shared" si="1"/>
        <v/>
      </c>
      <c r="D42" s="10" t="str">
        <f t="shared" si="2"/>
        <v/>
      </c>
      <c r="E42" s="25"/>
      <c r="F42" s="26"/>
      <c r="G42" s="25"/>
      <c r="H42" s="26"/>
      <c r="I42" s="11" t="str">
        <f t="shared" si="3"/>
        <v/>
      </c>
      <c r="J42" s="12"/>
      <c r="K42" s="3"/>
      <c r="L42" s="3"/>
      <c r="M42" s="13">
        <v>1</v>
      </c>
      <c r="N42" s="5" t="str">
        <f>IFERROR(VLOOKUP($C42,休日!$A:$B,2,FALSE),"")</f>
        <v/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hidden="1" customHeight="1" outlineLevel="1">
      <c r="A43" s="3"/>
      <c r="B43" s="8" t="str">
        <f t="shared" si="0"/>
        <v/>
      </c>
      <c r="C43" s="9" t="str">
        <f t="shared" si="1"/>
        <v/>
      </c>
      <c r="D43" s="10" t="str">
        <f t="shared" si="2"/>
        <v/>
      </c>
      <c r="E43" s="25"/>
      <c r="F43" s="26"/>
      <c r="G43" s="25"/>
      <c r="H43" s="26"/>
      <c r="I43" s="11" t="str">
        <f t="shared" si="3"/>
        <v/>
      </c>
      <c r="J43" s="12"/>
      <c r="K43" s="3"/>
      <c r="L43" s="3"/>
      <c r="M43" s="13">
        <v>1</v>
      </c>
      <c r="N43" s="5" t="str">
        <f>IFERROR(VLOOKUP($C43,休日!$A:$B,2,FALSE),"")</f>
        <v/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hidden="1" customHeight="1" outlineLevel="1">
      <c r="A44" s="3"/>
      <c r="B44" s="8" t="str">
        <f t="shared" si="0"/>
        <v/>
      </c>
      <c r="C44" s="9" t="str">
        <f t="shared" si="1"/>
        <v/>
      </c>
      <c r="D44" s="10" t="str">
        <f t="shared" si="2"/>
        <v/>
      </c>
      <c r="E44" s="25"/>
      <c r="F44" s="26"/>
      <c r="G44" s="25"/>
      <c r="H44" s="26"/>
      <c r="I44" s="11" t="str">
        <f t="shared" si="3"/>
        <v/>
      </c>
      <c r="J44" s="12"/>
      <c r="K44" s="3"/>
      <c r="L44" s="3"/>
      <c r="M44" s="13">
        <v>1</v>
      </c>
      <c r="N44" s="5" t="str">
        <f>IFERROR(VLOOKUP($C44,休日!$A:$B,2,FALSE),"")</f>
        <v/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hidden="1" customHeight="1" outlineLevel="1">
      <c r="A45" s="3"/>
      <c r="B45" s="8" t="str">
        <f t="shared" si="0"/>
        <v/>
      </c>
      <c r="C45" s="9" t="str">
        <f t="shared" si="1"/>
        <v/>
      </c>
      <c r="D45" s="10" t="str">
        <f t="shared" si="2"/>
        <v/>
      </c>
      <c r="E45" s="25"/>
      <c r="F45" s="26"/>
      <c r="G45" s="25"/>
      <c r="H45" s="26"/>
      <c r="I45" s="11" t="str">
        <f t="shared" si="3"/>
        <v/>
      </c>
      <c r="J45" s="12"/>
      <c r="K45" s="3"/>
      <c r="L45" s="3"/>
      <c r="M45" s="13">
        <v>1</v>
      </c>
      <c r="N45" s="5" t="str">
        <f>IFERROR(VLOOKUP($C45,休日!$A:$B,2,FALSE),"")</f>
        <v/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hidden="1" customHeight="1" outlineLevel="1">
      <c r="A46" s="3"/>
      <c r="B46" s="8" t="str">
        <f t="shared" si="0"/>
        <v/>
      </c>
      <c r="C46" s="9" t="str">
        <f t="shared" si="1"/>
        <v/>
      </c>
      <c r="D46" s="10" t="str">
        <f t="shared" si="2"/>
        <v/>
      </c>
      <c r="E46" s="25"/>
      <c r="F46" s="26"/>
      <c r="G46" s="25"/>
      <c r="H46" s="26"/>
      <c r="I46" s="11" t="str">
        <f t="shared" si="3"/>
        <v/>
      </c>
      <c r="J46" s="12"/>
      <c r="K46" s="3"/>
      <c r="L46" s="3"/>
      <c r="M46" s="13">
        <v>1</v>
      </c>
      <c r="N46" s="5" t="str">
        <f>IFERROR(VLOOKUP($C46,休日!$A:$B,2,FALSE),"")</f>
        <v/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hidden="1" customHeight="1" outlineLevel="1">
      <c r="A47" s="3"/>
      <c r="B47" s="8" t="str">
        <f t="shared" si="0"/>
        <v/>
      </c>
      <c r="C47" s="9" t="str">
        <f t="shared" si="1"/>
        <v/>
      </c>
      <c r="D47" s="10" t="str">
        <f t="shared" si="2"/>
        <v/>
      </c>
      <c r="E47" s="25"/>
      <c r="F47" s="26"/>
      <c r="G47" s="25"/>
      <c r="H47" s="26"/>
      <c r="I47" s="11" t="str">
        <f t="shared" si="3"/>
        <v/>
      </c>
      <c r="J47" s="12"/>
      <c r="K47" s="3"/>
      <c r="L47" s="3"/>
      <c r="M47" s="13">
        <v>1</v>
      </c>
      <c r="N47" s="5" t="str">
        <f>IFERROR(VLOOKUP($C47,休日!$A:$B,2,FALSE),"")</f>
        <v/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hidden="1" customHeight="1" outlineLevel="1">
      <c r="A48" s="3"/>
      <c r="B48" s="8" t="str">
        <f t="shared" si="0"/>
        <v/>
      </c>
      <c r="C48" s="9" t="str">
        <f t="shared" si="1"/>
        <v/>
      </c>
      <c r="D48" s="10" t="str">
        <f t="shared" si="2"/>
        <v/>
      </c>
      <c r="E48" s="25"/>
      <c r="F48" s="26"/>
      <c r="G48" s="25"/>
      <c r="H48" s="26"/>
      <c r="I48" s="11" t="str">
        <f t="shared" si="3"/>
        <v/>
      </c>
      <c r="J48" s="12"/>
      <c r="K48" s="3"/>
      <c r="L48" s="3"/>
      <c r="M48" s="13">
        <v>1</v>
      </c>
      <c r="N48" s="5" t="str">
        <f>IFERROR(VLOOKUP($C48,休日!$A:$B,2,FALSE),"")</f>
        <v/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hidden="1" customHeight="1" outlineLevel="1">
      <c r="A49" s="3"/>
      <c r="B49" s="8" t="str">
        <f t="shared" si="0"/>
        <v/>
      </c>
      <c r="C49" s="9" t="str">
        <f t="shared" si="1"/>
        <v/>
      </c>
      <c r="D49" s="10" t="str">
        <f t="shared" si="2"/>
        <v/>
      </c>
      <c r="E49" s="25"/>
      <c r="F49" s="26"/>
      <c r="G49" s="25"/>
      <c r="H49" s="26"/>
      <c r="I49" s="11" t="str">
        <f t="shared" si="3"/>
        <v/>
      </c>
      <c r="J49" s="12"/>
      <c r="K49" s="3"/>
      <c r="L49" s="3"/>
      <c r="M49" s="13">
        <v>1</v>
      </c>
      <c r="N49" s="5" t="str">
        <f>IFERROR(VLOOKUP($C49,休日!$A:$B,2,FALSE),"")</f>
        <v/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hidden="1" customHeight="1" outlineLevel="1">
      <c r="A50" s="3"/>
      <c r="B50" s="8" t="str">
        <f t="shared" si="0"/>
        <v/>
      </c>
      <c r="C50" s="9" t="str">
        <f t="shared" si="1"/>
        <v/>
      </c>
      <c r="D50" s="10" t="str">
        <f t="shared" si="2"/>
        <v/>
      </c>
      <c r="E50" s="25"/>
      <c r="F50" s="26"/>
      <c r="G50" s="25"/>
      <c r="H50" s="26"/>
      <c r="I50" s="11" t="str">
        <f t="shared" si="3"/>
        <v/>
      </c>
      <c r="J50" s="12"/>
      <c r="K50" s="3"/>
      <c r="L50" s="3"/>
      <c r="M50" s="13">
        <v>1</v>
      </c>
      <c r="N50" s="5" t="str">
        <f>IFERROR(VLOOKUP($C50,休日!$A:$B,2,FALSE),"")</f>
        <v/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collapsed="1">
      <c r="A51" s="3"/>
      <c r="B51" s="52" t="s">
        <v>15</v>
      </c>
      <c r="C51" s="53"/>
      <c r="D51" s="53"/>
      <c r="E51" s="53"/>
      <c r="F51" s="53"/>
      <c r="G51" s="53"/>
      <c r="H51" s="54"/>
      <c r="I51" s="40">
        <f>SUM(I10:I50)</f>
        <v>24</v>
      </c>
      <c r="J51" s="27"/>
      <c r="K51" s="3"/>
      <c r="L51" s="3"/>
      <c r="M51" s="1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8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8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8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8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8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8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8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8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8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8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8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8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8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8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8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8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8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8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8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8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8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8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8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8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8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8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8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8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8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8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sheetProtection algorithmName="SHA-512" hashValue="HGa9GmrzlYpQMl4ZmdWNfQOD/MTaIlA4erHTjV5fRrgK7E2sSLs2mvoIiOXhpYpc6h8kSdxTAeLCs15Wit8N6g==" saltValue="tE4jKYfKVfgTdyaVUeQnfg==" spinCount="100000" sheet="1" objects="1" scenarios="1"/>
  <mergeCells count="13">
    <mergeCell ref="I8:I9"/>
    <mergeCell ref="J8:J9"/>
    <mergeCell ref="B8:D8"/>
    <mergeCell ref="B6:D6"/>
    <mergeCell ref="E6:G6"/>
    <mergeCell ref="B51:H51"/>
    <mergeCell ref="E8:F8"/>
    <mergeCell ref="G8:H8"/>
    <mergeCell ref="B1:J1"/>
    <mergeCell ref="B2:D2"/>
    <mergeCell ref="E2:I2"/>
    <mergeCell ref="B4:D4"/>
    <mergeCell ref="E4:I4"/>
  </mergeCells>
  <phoneticPr fontId="2"/>
  <conditionalFormatting sqref="B10:J50">
    <cfRule type="expression" dxfId="1" priority="1" stopIfTrue="1">
      <formula>OR(WEEKDAY($D10,2)=7,WEEKDAY($D10,2)=6,$N10&lt;&gt;"")</formula>
    </cfRule>
  </conditionalFormatting>
  <pageMargins left="0.59055118110236227" right="0.19685039370078741" top="0.39370078740157483" bottom="0.19685039370078741" header="0" footer="0"/>
  <pageSetup paperSize="9" orientation="portrait"/>
  <headerFooter>
    <oddHeader>&amp;C作 業 実 施 報 告 書&amp;R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0F3D-115C-4C41-90D9-97E7BAFF22B0}">
  <sheetPr>
    <pageSetUpPr fitToPage="1"/>
  </sheetPr>
  <dimension ref="A1:Z1000"/>
  <sheetViews>
    <sheetView showGridLines="0" tabSelected="1" workbookViewId="0">
      <pane ySplit="9" topLeftCell="A10" activePane="bottomLeft" state="frozen"/>
      <selection pane="bottomLeft" activeCell="G13" sqref="G13"/>
    </sheetView>
  </sheetViews>
  <sheetFormatPr defaultColWidth="14.33203125" defaultRowHeight="15" customHeight="1" outlineLevelRow="1"/>
  <cols>
    <col min="1" max="1" width="1.6640625" style="4" customWidth="1"/>
    <col min="2" max="8" width="4.6640625" style="4" customWidth="1"/>
    <col min="9" max="9" width="11.33203125" style="4" customWidth="1"/>
    <col min="10" max="10" width="48.6640625" style="4" customWidth="1"/>
    <col min="11" max="12" width="1.21875" style="4" customWidth="1"/>
    <col min="13" max="13" width="5.109375" style="4" customWidth="1"/>
    <col min="14" max="26" width="8.77734375" style="4" customWidth="1"/>
    <col min="27" max="16384" width="14.33203125" style="4"/>
  </cols>
  <sheetData>
    <row r="1" spans="1:26" ht="37.200000000000003" customHeight="1">
      <c r="A1" s="3"/>
      <c r="B1" s="55" t="s">
        <v>16</v>
      </c>
      <c r="C1" s="55"/>
      <c r="D1" s="55"/>
      <c r="E1" s="55"/>
      <c r="F1" s="55"/>
      <c r="G1" s="55"/>
      <c r="H1" s="55"/>
      <c r="I1" s="55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>
      <c r="A2" s="3"/>
      <c r="B2" s="56" t="s">
        <v>0</v>
      </c>
      <c r="C2" s="57"/>
      <c r="D2" s="58"/>
      <c r="E2" s="59"/>
      <c r="F2" s="60"/>
      <c r="G2" s="60"/>
      <c r="H2" s="60"/>
      <c r="I2" s="6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600000000000001" hidden="1" customHeight="1">
      <c r="A3" s="3"/>
      <c r="B3" s="38"/>
      <c r="C3" s="38"/>
      <c r="D3" s="38"/>
      <c r="E3" s="3"/>
      <c r="F3" s="3"/>
      <c r="G3" s="3"/>
      <c r="H3" s="3"/>
      <c r="I3" s="3"/>
      <c r="J3" s="2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.75" customHeight="1">
      <c r="A4" s="3"/>
      <c r="B4" s="56" t="s">
        <v>1</v>
      </c>
      <c r="C4" s="57"/>
      <c r="D4" s="58"/>
      <c r="E4" s="62"/>
      <c r="F4" s="63"/>
      <c r="G4" s="63"/>
      <c r="H4" s="63"/>
      <c r="I4" s="6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.600000000000001" hidden="1" customHeight="1">
      <c r="A5" s="3"/>
      <c r="B5" s="39"/>
      <c r="C5" s="38"/>
      <c r="D5" s="3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.75" customHeight="1">
      <c r="A6" s="3"/>
      <c r="B6" s="65" t="s">
        <v>2</v>
      </c>
      <c r="C6" s="66"/>
      <c r="D6" s="67"/>
      <c r="E6" s="68">
        <v>46113</v>
      </c>
      <c r="F6" s="69"/>
      <c r="G6" s="70"/>
      <c r="H6" s="32" t="s">
        <v>3</v>
      </c>
      <c r="I6" s="33">
        <f>DATE(YEAR($E6),MONTH($E6)+1,$N6)</f>
        <v>46142</v>
      </c>
      <c r="J6" s="3"/>
      <c r="K6" s="3"/>
      <c r="L6" s="3"/>
      <c r="M6" s="3" t="s">
        <v>4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.75" customHeight="1" thickBot="1">
      <c r="A7" s="5"/>
      <c r="B7" s="6"/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1" customHeight="1" thickTop="1">
      <c r="A8" s="3"/>
      <c r="B8" s="46" t="s">
        <v>5</v>
      </c>
      <c r="C8" s="47"/>
      <c r="D8" s="48"/>
      <c r="E8" s="49" t="s">
        <v>6</v>
      </c>
      <c r="F8" s="48"/>
      <c r="G8" s="49" t="s">
        <v>7</v>
      </c>
      <c r="H8" s="48"/>
      <c r="I8" s="50" t="s">
        <v>8</v>
      </c>
      <c r="J8" s="50" t="s">
        <v>18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 thickBot="1">
      <c r="A9" s="3"/>
      <c r="B9" s="34" t="s">
        <v>9</v>
      </c>
      <c r="C9" s="35" t="s">
        <v>10</v>
      </c>
      <c r="D9" s="41" t="s">
        <v>17</v>
      </c>
      <c r="E9" s="37" t="s">
        <v>11</v>
      </c>
      <c r="F9" s="36" t="s">
        <v>12</v>
      </c>
      <c r="G9" s="37" t="s">
        <v>11</v>
      </c>
      <c r="H9" s="36" t="s">
        <v>12</v>
      </c>
      <c r="I9" s="51"/>
      <c r="J9" s="51"/>
      <c r="K9" s="3"/>
      <c r="L9" s="3"/>
      <c r="M9" s="3" t="s">
        <v>13</v>
      </c>
      <c r="N9" s="3" t="s">
        <v>14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thickTop="1">
      <c r="A10" s="3"/>
      <c r="B10" s="8">
        <f t="shared" ref="B10:B50" si="0">IF($C10="","",IF(OR($C10=$E$6,DAY($C10)=1),MONTH($C10),""))</f>
        <v>4</v>
      </c>
      <c r="C10" s="9">
        <f t="shared" ref="C10:C50" si="1">IF($E$6+ROW()-ROW($10:$10)&gt;$I$6,"",$E$6+ROW()-ROW($10:$10))</f>
        <v>46113</v>
      </c>
      <c r="D10" s="10">
        <f t="shared" ref="D10:D50" si="2">$C10</f>
        <v>46113</v>
      </c>
      <c r="E10" s="25"/>
      <c r="F10" s="26"/>
      <c r="G10" s="25"/>
      <c r="H10" s="26"/>
      <c r="I10" s="11"/>
      <c r="J10" s="12"/>
      <c r="K10" s="3"/>
      <c r="L10" s="3"/>
      <c r="M10" s="13">
        <v>1</v>
      </c>
      <c r="N10" s="5" t="str">
        <f>IFERROR(VLOOKUP($C10,休日!$A:$B,2,FALSE),"")</f>
        <v/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>
      <c r="A11" s="3"/>
      <c r="B11" s="8" t="str">
        <f t="shared" si="0"/>
        <v/>
      </c>
      <c r="C11" s="9">
        <f t="shared" si="1"/>
        <v>46114</v>
      </c>
      <c r="D11" s="10">
        <f t="shared" si="2"/>
        <v>46114</v>
      </c>
      <c r="E11" s="25"/>
      <c r="F11" s="26"/>
      <c r="G11" s="25"/>
      <c r="H11" s="26"/>
      <c r="I11" s="11"/>
      <c r="J11" s="12"/>
      <c r="K11" s="3"/>
      <c r="L11" s="3"/>
      <c r="M11" s="13">
        <v>1</v>
      </c>
      <c r="N11" s="5" t="str">
        <f>IFERROR(VLOOKUP($C11,休日!$A:$B,2,FALSE),"")</f>
        <v/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>
      <c r="A12" s="3"/>
      <c r="B12" s="8" t="str">
        <f t="shared" si="0"/>
        <v/>
      </c>
      <c r="C12" s="9">
        <f t="shared" si="1"/>
        <v>46115</v>
      </c>
      <c r="D12" s="10">
        <f t="shared" si="2"/>
        <v>46115</v>
      </c>
      <c r="E12" s="25"/>
      <c r="F12" s="26"/>
      <c r="G12" s="25"/>
      <c r="H12" s="26"/>
      <c r="I12" s="11"/>
      <c r="J12" s="12"/>
      <c r="K12" s="3"/>
      <c r="L12" s="3"/>
      <c r="M12" s="13">
        <v>1</v>
      </c>
      <c r="N12" s="5" t="str">
        <f>IFERROR(VLOOKUP($C12,休日!$A:$B,2,FALSE),"")</f>
        <v/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>
      <c r="A13" s="3"/>
      <c r="B13" s="8" t="str">
        <f t="shared" si="0"/>
        <v/>
      </c>
      <c r="C13" s="9">
        <f t="shared" si="1"/>
        <v>46116</v>
      </c>
      <c r="D13" s="10">
        <f t="shared" si="2"/>
        <v>46116</v>
      </c>
      <c r="E13" s="25"/>
      <c r="F13" s="26"/>
      <c r="G13" s="25"/>
      <c r="H13" s="26"/>
      <c r="I13" s="11" t="str">
        <f t="shared" ref="I10:I50" si="3">IF($G13="","",($G13+$H13/60)-($E13+$F13/60)-$M13)</f>
        <v/>
      </c>
      <c r="J13" s="12"/>
      <c r="K13" s="3"/>
      <c r="L13" s="3"/>
      <c r="M13" s="13">
        <v>1</v>
      </c>
      <c r="N13" s="5" t="str">
        <f>IFERROR(VLOOKUP($C13,休日!$A:$B,2,FALSE),"")</f>
        <v/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>
      <c r="A14" s="3"/>
      <c r="B14" s="8" t="str">
        <f t="shared" si="0"/>
        <v/>
      </c>
      <c r="C14" s="9">
        <f t="shared" si="1"/>
        <v>46117</v>
      </c>
      <c r="D14" s="10">
        <f t="shared" si="2"/>
        <v>46117</v>
      </c>
      <c r="E14" s="25"/>
      <c r="F14" s="26"/>
      <c r="G14" s="25"/>
      <c r="H14" s="26"/>
      <c r="I14" s="11" t="str">
        <f t="shared" si="3"/>
        <v/>
      </c>
      <c r="J14" s="12"/>
      <c r="K14" s="3"/>
      <c r="L14" s="3"/>
      <c r="M14" s="13">
        <v>1</v>
      </c>
      <c r="N14" s="5" t="str">
        <f>IFERROR(VLOOKUP($C14,休日!$A:$B,2,FALSE),"")</f>
        <v/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>
      <c r="A15" s="3"/>
      <c r="B15" s="8" t="str">
        <f t="shared" si="0"/>
        <v/>
      </c>
      <c r="C15" s="9">
        <f t="shared" si="1"/>
        <v>46118</v>
      </c>
      <c r="D15" s="10">
        <f t="shared" si="2"/>
        <v>46118</v>
      </c>
      <c r="E15" s="25"/>
      <c r="F15" s="26"/>
      <c r="G15" s="25"/>
      <c r="H15" s="26"/>
      <c r="I15" s="11" t="str">
        <f t="shared" si="3"/>
        <v/>
      </c>
      <c r="J15" s="12"/>
      <c r="K15" s="3"/>
      <c r="L15" s="3"/>
      <c r="M15" s="13">
        <v>1</v>
      </c>
      <c r="N15" s="5" t="str">
        <f>IFERROR(VLOOKUP($C15,休日!$A:$B,2,FALSE),"")</f>
        <v/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>
      <c r="A16" s="3"/>
      <c r="B16" s="8" t="str">
        <f t="shared" si="0"/>
        <v/>
      </c>
      <c r="C16" s="9">
        <f t="shared" si="1"/>
        <v>46119</v>
      </c>
      <c r="D16" s="10">
        <f t="shared" si="2"/>
        <v>46119</v>
      </c>
      <c r="E16" s="25"/>
      <c r="F16" s="26"/>
      <c r="G16" s="25"/>
      <c r="H16" s="26"/>
      <c r="I16" s="11" t="str">
        <f t="shared" si="3"/>
        <v/>
      </c>
      <c r="J16" s="12"/>
      <c r="K16" s="3"/>
      <c r="L16" s="3"/>
      <c r="M16" s="13">
        <v>1</v>
      </c>
      <c r="N16" s="5" t="str">
        <f>IFERROR(VLOOKUP($C16,休日!$A:$B,2,FALSE),"")</f>
        <v/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>
      <c r="A17" s="3"/>
      <c r="B17" s="8" t="str">
        <f t="shared" si="0"/>
        <v/>
      </c>
      <c r="C17" s="9">
        <f t="shared" si="1"/>
        <v>46120</v>
      </c>
      <c r="D17" s="10">
        <f t="shared" si="2"/>
        <v>46120</v>
      </c>
      <c r="E17" s="25"/>
      <c r="F17" s="26"/>
      <c r="G17" s="25"/>
      <c r="H17" s="26"/>
      <c r="I17" s="11" t="str">
        <f t="shared" si="3"/>
        <v/>
      </c>
      <c r="J17" s="12"/>
      <c r="K17" s="3"/>
      <c r="L17" s="3"/>
      <c r="M17" s="13">
        <v>1</v>
      </c>
      <c r="N17" s="5" t="str">
        <f>IFERROR(VLOOKUP($C17,休日!$A:$B,2,FALSE),"")</f>
        <v/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9.5" customHeight="1">
      <c r="A18" s="3"/>
      <c r="B18" s="8" t="str">
        <f t="shared" si="0"/>
        <v/>
      </c>
      <c r="C18" s="9">
        <f t="shared" si="1"/>
        <v>46121</v>
      </c>
      <c r="D18" s="10">
        <f t="shared" si="2"/>
        <v>46121</v>
      </c>
      <c r="E18" s="25"/>
      <c r="F18" s="26"/>
      <c r="G18" s="25"/>
      <c r="H18" s="26"/>
      <c r="I18" s="11" t="str">
        <f t="shared" si="3"/>
        <v/>
      </c>
      <c r="J18" s="12"/>
      <c r="K18" s="3"/>
      <c r="L18" s="3"/>
      <c r="M18" s="13">
        <v>1</v>
      </c>
      <c r="N18" s="5" t="str">
        <f>IFERROR(VLOOKUP($C18,休日!$A:$B,2,FALSE),"")</f>
        <v/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3"/>
      <c r="B19" s="8" t="str">
        <f t="shared" si="0"/>
        <v/>
      </c>
      <c r="C19" s="9">
        <f t="shared" si="1"/>
        <v>46122</v>
      </c>
      <c r="D19" s="10">
        <f t="shared" si="2"/>
        <v>46122</v>
      </c>
      <c r="E19" s="25"/>
      <c r="F19" s="26"/>
      <c r="G19" s="25"/>
      <c r="H19" s="26"/>
      <c r="I19" s="11" t="str">
        <f t="shared" si="3"/>
        <v/>
      </c>
      <c r="J19" s="12"/>
      <c r="K19" s="3"/>
      <c r="L19" s="3"/>
      <c r="M19" s="13">
        <v>1</v>
      </c>
      <c r="N19" s="5" t="str">
        <f>IFERROR(VLOOKUP($C19,休日!$A:$B,2,FALSE),"")</f>
        <v/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>
      <c r="A20" s="3"/>
      <c r="B20" s="8" t="str">
        <f t="shared" si="0"/>
        <v/>
      </c>
      <c r="C20" s="9">
        <f t="shared" si="1"/>
        <v>46123</v>
      </c>
      <c r="D20" s="10">
        <f t="shared" si="2"/>
        <v>46123</v>
      </c>
      <c r="E20" s="25"/>
      <c r="F20" s="26"/>
      <c r="G20" s="25"/>
      <c r="H20" s="26"/>
      <c r="I20" s="11" t="str">
        <f t="shared" si="3"/>
        <v/>
      </c>
      <c r="J20" s="12"/>
      <c r="K20" s="3"/>
      <c r="L20" s="3"/>
      <c r="M20" s="13">
        <v>1</v>
      </c>
      <c r="N20" s="5" t="str">
        <f>IFERROR(VLOOKUP($C20,休日!$A:$B,2,FALSE),"")</f>
        <v/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>
      <c r="A21" s="3"/>
      <c r="B21" s="8" t="str">
        <f t="shared" si="0"/>
        <v/>
      </c>
      <c r="C21" s="9">
        <f t="shared" si="1"/>
        <v>46124</v>
      </c>
      <c r="D21" s="10">
        <f t="shared" si="2"/>
        <v>46124</v>
      </c>
      <c r="E21" s="25"/>
      <c r="F21" s="26"/>
      <c r="G21" s="25"/>
      <c r="H21" s="26"/>
      <c r="I21" s="11" t="str">
        <f t="shared" si="3"/>
        <v/>
      </c>
      <c r="J21" s="12"/>
      <c r="K21" s="3"/>
      <c r="L21" s="3"/>
      <c r="M21" s="13">
        <v>1</v>
      </c>
      <c r="N21" s="5" t="str">
        <f>IFERROR(VLOOKUP($C21,休日!$A:$B,2,FALSE),"")</f>
        <v/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>
      <c r="A22" s="3"/>
      <c r="B22" s="8" t="str">
        <f t="shared" si="0"/>
        <v/>
      </c>
      <c r="C22" s="9">
        <f t="shared" si="1"/>
        <v>46125</v>
      </c>
      <c r="D22" s="10">
        <f t="shared" si="2"/>
        <v>46125</v>
      </c>
      <c r="E22" s="25"/>
      <c r="F22" s="26"/>
      <c r="G22" s="25"/>
      <c r="H22" s="26"/>
      <c r="I22" s="11" t="str">
        <f t="shared" si="3"/>
        <v/>
      </c>
      <c r="J22" s="12"/>
      <c r="K22" s="3"/>
      <c r="L22" s="3"/>
      <c r="M22" s="13">
        <v>1</v>
      </c>
      <c r="N22" s="5" t="str">
        <f>IFERROR(VLOOKUP($C22,休日!$A:$B,2,FALSE),"")</f>
        <v/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3"/>
      <c r="B23" s="8" t="str">
        <f t="shared" si="0"/>
        <v/>
      </c>
      <c r="C23" s="9">
        <f t="shared" si="1"/>
        <v>46126</v>
      </c>
      <c r="D23" s="10">
        <f t="shared" si="2"/>
        <v>46126</v>
      </c>
      <c r="E23" s="25"/>
      <c r="F23" s="26"/>
      <c r="G23" s="25"/>
      <c r="H23" s="26"/>
      <c r="I23" s="11" t="str">
        <f t="shared" si="3"/>
        <v/>
      </c>
      <c r="J23" s="12"/>
      <c r="K23" s="3"/>
      <c r="L23" s="3"/>
      <c r="M23" s="13">
        <v>1</v>
      </c>
      <c r="N23" s="5" t="str">
        <f>IFERROR(VLOOKUP($C23,休日!$A:$B,2,FALSE),"")</f>
        <v/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>
      <c r="A24" s="3"/>
      <c r="B24" s="8" t="str">
        <f t="shared" si="0"/>
        <v/>
      </c>
      <c r="C24" s="9">
        <f t="shared" si="1"/>
        <v>46127</v>
      </c>
      <c r="D24" s="10">
        <f t="shared" si="2"/>
        <v>46127</v>
      </c>
      <c r="E24" s="25"/>
      <c r="F24" s="26"/>
      <c r="G24" s="25"/>
      <c r="H24" s="26"/>
      <c r="I24" s="11" t="str">
        <f t="shared" si="3"/>
        <v/>
      </c>
      <c r="J24" s="12"/>
      <c r="K24" s="3"/>
      <c r="L24" s="3"/>
      <c r="M24" s="13">
        <v>1</v>
      </c>
      <c r="N24" s="5" t="str">
        <f>IFERROR(VLOOKUP($C24,休日!$A:$B,2,FALSE),"")</f>
        <v/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9.5" customHeight="1">
      <c r="A25" s="3"/>
      <c r="B25" s="8" t="str">
        <f t="shared" si="0"/>
        <v/>
      </c>
      <c r="C25" s="9">
        <f t="shared" si="1"/>
        <v>46128</v>
      </c>
      <c r="D25" s="10">
        <f t="shared" si="2"/>
        <v>46128</v>
      </c>
      <c r="E25" s="25"/>
      <c r="F25" s="26"/>
      <c r="G25" s="25"/>
      <c r="H25" s="26"/>
      <c r="I25" s="11" t="str">
        <f t="shared" si="3"/>
        <v/>
      </c>
      <c r="J25" s="12"/>
      <c r="K25" s="3"/>
      <c r="L25" s="3"/>
      <c r="M25" s="13">
        <v>1</v>
      </c>
      <c r="N25" s="5" t="str">
        <f>IFERROR(VLOOKUP($C25,休日!$A:$B,2,FALSE),"")</f>
        <v/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>
      <c r="A26" s="3"/>
      <c r="B26" s="8" t="str">
        <f t="shared" si="0"/>
        <v/>
      </c>
      <c r="C26" s="9">
        <f t="shared" si="1"/>
        <v>46129</v>
      </c>
      <c r="D26" s="10">
        <f t="shared" si="2"/>
        <v>46129</v>
      </c>
      <c r="E26" s="25"/>
      <c r="F26" s="26"/>
      <c r="G26" s="25"/>
      <c r="H26" s="26"/>
      <c r="I26" s="11" t="str">
        <f t="shared" si="3"/>
        <v/>
      </c>
      <c r="J26" s="12"/>
      <c r="K26" s="3"/>
      <c r="L26" s="3"/>
      <c r="M26" s="13">
        <v>1</v>
      </c>
      <c r="N26" s="5" t="str">
        <f>IFERROR(VLOOKUP($C26,休日!$A:$B,2,FALSE),"")</f>
        <v/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>
      <c r="A27" s="3"/>
      <c r="B27" s="8" t="str">
        <f t="shared" si="0"/>
        <v/>
      </c>
      <c r="C27" s="9">
        <f t="shared" si="1"/>
        <v>46130</v>
      </c>
      <c r="D27" s="10">
        <f t="shared" si="2"/>
        <v>46130</v>
      </c>
      <c r="E27" s="25"/>
      <c r="F27" s="26"/>
      <c r="G27" s="25"/>
      <c r="H27" s="26"/>
      <c r="I27" s="11" t="str">
        <f t="shared" si="3"/>
        <v/>
      </c>
      <c r="J27" s="12"/>
      <c r="K27" s="3"/>
      <c r="L27" s="3"/>
      <c r="M27" s="13">
        <v>1</v>
      </c>
      <c r="N27" s="5" t="str">
        <f>IFERROR(VLOOKUP($C27,休日!$A:$B,2,FALSE),"")</f>
        <v/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>
      <c r="A28" s="3"/>
      <c r="B28" s="8" t="str">
        <f t="shared" si="0"/>
        <v/>
      </c>
      <c r="C28" s="9">
        <f t="shared" si="1"/>
        <v>46131</v>
      </c>
      <c r="D28" s="10">
        <f t="shared" si="2"/>
        <v>46131</v>
      </c>
      <c r="E28" s="25"/>
      <c r="F28" s="26"/>
      <c r="G28" s="25"/>
      <c r="H28" s="26"/>
      <c r="I28" s="11" t="str">
        <f t="shared" si="3"/>
        <v/>
      </c>
      <c r="J28" s="12"/>
      <c r="K28" s="3"/>
      <c r="L28" s="3"/>
      <c r="M28" s="13">
        <v>1</v>
      </c>
      <c r="N28" s="5" t="str">
        <f>IFERROR(VLOOKUP($C28,休日!$A:$B,2,FALSE),"")</f>
        <v/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>
      <c r="A29" s="3"/>
      <c r="B29" s="8" t="str">
        <f t="shared" si="0"/>
        <v/>
      </c>
      <c r="C29" s="9">
        <f t="shared" si="1"/>
        <v>46132</v>
      </c>
      <c r="D29" s="10">
        <f t="shared" si="2"/>
        <v>46132</v>
      </c>
      <c r="E29" s="25"/>
      <c r="F29" s="26"/>
      <c r="G29" s="25"/>
      <c r="H29" s="26"/>
      <c r="I29" s="11" t="str">
        <f t="shared" si="3"/>
        <v/>
      </c>
      <c r="J29" s="12"/>
      <c r="K29" s="3"/>
      <c r="L29" s="3"/>
      <c r="M29" s="13">
        <v>1</v>
      </c>
      <c r="N29" s="5" t="str">
        <f>IFERROR(VLOOKUP($C29,休日!$A:$B,2,FALSE),"")</f>
        <v/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>
      <c r="A30" s="3"/>
      <c r="B30" s="8" t="str">
        <f t="shared" si="0"/>
        <v/>
      </c>
      <c r="C30" s="9">
        <f t="shared" si="1"/>
        <v>46133</v>
      </c>
      <c r="D30" s="10">
        <f t="shared" si="2"/>
        <v>46133</v>
      </c>
      <c r="E30" s="25"/>
      <c r="F30" s="26"/>
      <c r="G30" s="25"/>
      <c r="H30" s="26"/>
      <c r="I30" s="11" t="str">
        <f t="shared" si="3"/>
        <v/>
      </c>
      <c r="J30" s="12"/>
      <c r="K30" s="3"/>
      <c r="L30" s="3"/>
      <c r="M30" s="13">
        <v>1</v>
      </c>
      <c r="N30" s="5" t="str">
        <f>IFERROR(VLOOKUP($C30,休日!$A:$B,2,FALSE),"")</f>
        <v/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>
      <c r="A31" s="3"/>
      <c r="B31" s="8" t="str">
        <f t="shared" si="0"/>
        <v/>
      </c>
      <c r="C31" s="9">
        <f t="shared" si="1"/>
        <v>46134</v>
      </c>
      <c r="D31" s="10">
        <f t="shared" si="2"/>
        <v>46134</v>
      </c>
      <c r="E31" s="25"/>
      <c r="F31" s="26"/>
      <c r="G31" s="25"/>
      <c r="H31" s="26"/>
      <c r="I31" s="11" t="str">
        <f t="shared" si="3"/>
        <v/>
      </c>
      <c r="J31" s="12"/>
      <c r="K31" s="3"/>
      <c r="L31" s="3"/>
      <c r="M31" s="13">
        <v>1</v>
      </c>
      <c r="N31" s="5" t="str">
        <f>IFERROR(VLOOKUP($C31,休日!$A:$B,2,FALSE),"")</f>
        <v/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>
      <c r="A32" s="3"/>
      <c r="B32" s="8" t="str">
        <f t="shared" si="0"/>
        <v/>
      </c>
      <c r="C32" s="9">
        <f t="shared" si="1"/>
        <v>46135</v>
      </c>
      <c r="D32" s="10">
        <f t="shared" si="2"/>
        <v>46135</v>
      </c>
      <c r="E32" s="25"/>
      <c r="F32" s="26"/>
      <c r="G32" s="25"/>
      <c r="H32" s="26"/>
      <c r="I32" s="11" t="str">
        <f t="shared" si="3"/>
        <v/>
      </c>
      <c r="J32" s="12"/>
      <c r="K32" s="3"/>
      <c r="L32" s="3"/>
      <c r="M32" s="13">
        <v>1</v>
      </c>
      <c r="N32" s="5" t="str">
        <f>IFERROR(VLOOKUP($C32,休日!$A:$B,2,FALSE),"")</f>
        <v/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9.5" customHeight="1">
      <c r="A33" s="3"/>
      <c r="B33" s="8" t="str">
        <f t="shared" si="0"/>
        <v/>
      </c>
      <c r="C33" s="9">
        <f t="shared" si="1"/>
        <v>46136</v>
      </c>
      <c r="D33" s="10">
        <f t="shared" si="2"/>
        <v>46136</v>
      </c>
      <c r="E33" s="25"/>
      <c r="F33" s="26"/>
      <c r="G33" s="25"/>
      <c r="H33" s="26"/>
      <c r="I33" s="11" t="str">
        <f t="shared" si="3"/>
        <v/>
      </c>
      <c r="J33" s="12"/>
      <c r="K33" s="3"/>
      <c r="L33" s="3"/>
      <c r="M33" s="13">
        <v>1</v>
      </c>
      <c r="N33" s="5" t="str">
        <f>IFERROR(VLOOKUP($C33,休日!$A:$B,2,FALSE),"")</f>
        <v/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>
      <c r="A34" s="3"/>
      <c r="B34" s="8" t="str">
        <f t="shared" si="0"/>
        <v/>
      </c>
      <c r="C34" s="9">
        <f t="shared" si="1"/>
        <v>46137</v>
      </c>
      <c r="D34" s="10">
        <f t="shared" si="2"/>
        <v>46137</v>
      </c>
      <c r="E34" s="25"/>
      <c r="F34" s="26"/>
      <c r="G34" s="25"/>
      <c r="H34" s="26"/>
      <c r="I34" s="11" t="str">
        <f t="shared" si="3"/>
        <v/>
      </c>
      <c r="J34" s="12"/>
      <c r="K34" s="3"/>
      <c r="L34" s="3"/>
      <c r="M34" s="13">
        <v>1</v>
      </c>
      <c r="N34" s="5" t="str">
        <f>IFERROR(VLOOKUP($C34,休日!$A:$B,2,FALSE),"")</f>
        <v/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>
      <c r="A35" s="3"/>
      <c r="B35" s="8" t="str">
        <f t="shared" si="0"/>
        <v/>
      </c>
      <c r="C35" s="9">
        <f t="shared" si="1"/>
        <v>46138</v>
      </c>
      <c r="D35" s="10">
        <f t="shared" si="2"/>
        <v>46138</v>
      </c>
      <c r="E35" s="25"/>
      <c r="F35" s="26"/>
      <c r="G35" s="25"/>
      <c r="H35" s="26"/>
      <c r="I35" s="11" t="str">
        <f t="shared" si="3"/>
        <v/>
      </c>
      <c r="J35" s="12"/>
      <c r="K35" s="3"/>
      <c r="L35" s="3"/>
      <c r="M35" s="13">
        <v>1</v>
      </c>
      <c r="N35" s="5" t="str">
        <f>IFERROR(VLOOKUP($C35,休日!$A:$B,2,FALSE),"")</f>
        <v/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>
      <c r="A36" s="3"/>
      <c r="B36" s="8" t="str">
        <f t="shared" si="0"/>
        <v/>
      </c>
      <c r="C36" s="9">
        <f t="shared" si="1"/>
        <v>46139</v>
      </c>
      <c r="D36" s="10">
        <f t="shared" si="2"/>
        <v>46139</v>
      </c>
      <c r="E36" s="25"/>
      <c r="F36" s="26"/>
      <c r="G36" s="25"/>
      <c r="H36" s="26"/>
      <c r="I36" s="11" t="str">
        <f t="shared" si="3"/>
        <v/>
      </c>
      <c r="J36" s="12"/>
      <c r="K36" s="3"/>
      <c r="L36" s="3"/>
      <c r="M36" s="13">
        <v>1</v>
      </c>
      <c r="N36" s="5" t="str">
        <f>IFERROR(VLOOKUP($C36,休日!$A:$B,2,FALSE),"")</f>
        <v/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>
      <c r="A37" s="3"/>
      <c r="B37" s="8" t="str">
        <f t="shared" si="0"/>
        <v/>
      </c>
      <c r="C37" s="9">
        <f t="shared" si="1"/>
        <v>46140</v>
      </c>
      <c r="D37" s="10">
        <f t="shared" si="2"/>
        <v>46140</v>
      </c>
      <c r="E37" s="25"/>
      <c r="F37" s="26"/>
      <c r="G37" s="25"/>
      <c r="H37" s="26"/>
      <c r="I37" s="11" t="str">
        <f t="shared" si="3"/>
        <v/>
      </c>
      <c r="J37" s="12"/>
      <c r="K37" s="3"/>
      <c r="L37" s="3"/>
      <c r="M37" s="13">
        <v>1</v>
      </c>
      <c r="N37" s="5" t="str">
        <f>IFERROR(VLOOKUP($C37,休日!$A:$B,2,FALSE),"")</f>
        <v/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>
      <c r="A38" s="3"/>
      <c r="B38" s="8" t="str">
        <f t="shared" si="0"/>
        <v/>
      </c>
      <c r="C38" s="9">
        <f t="shared" si="1"/>
        <v>46141</v>
      </c>
      <c r="D38" s="10">
        <f t="shared" si="2"/>
        <v>46141</v>
      </c>
      <c r="E38" s="25"/>
      <c r="F38" s="26"/>
      <c r="G38" s="25"/>
      <c r="H38" s="26"/>
      <c r="I38" s="11" t="str">
        <f t="shared" si="3"/>
        <v/>
      </c>
      <c r="J38" s="12"/>
      <c r="K38" s="3"/>
      <c r="L38" s="3"/>
      <c r="M38" s="13">
        <v>1</v>
      </c>
      <c r="N38" s="5" t="str">
        <f>IFERROR(VLOOKUP($C38,休日!$A:$B,2,FALSE),"")</f>
        <v/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>
      <c r="A39" s="3"/>
      <c r="B39" s="8" t="str">
        <f t="shared" si="0"/>
        <v/>
      </c>
      <c r="C39" s="9">
        <f t="shared" si="1"/>
        <v>46142</v>
      </c>
      <c r="D39" s="10">
        <f t="shared" si="2"/>
        <v>46142</v>
      </c>
      <c r="E39" s="25"/>
      <c r="F39" s="26"/>
      <c r="G39" s="25"/>
      <c r="H39" s="26"/>
      <c r="I39" s="11" t="str">
        <f t="shared" si="3"/>
        <v/>
      </c>
      <c r="J39" s="12"/>
      <c r="K39" s="3"/>
      <c r="L39" s="3"/>
      <c r="M39" s="13">
        <v>1</v>
      </c>
      <c r="N39" s="5" t="str">
        <f>IFERROR(VLOOKUP($C39,休日!$A:$B,2,FALSE),"")</f>
        <v/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 thickBot="1">
      <c r="A40" s="3"/>
      <c r="B40" s="15" t="str">
        <f t="shared" si="0"/>
        <v/>
      </c>
      <c r="C40" s="16" t="str">
        <f t="shared" si="1"/>
        <v/>
      </c>
      <c r="D40" s="14" t="str">
        <f t="shared" si="2"/>
        <v/>
      </c>
      <c r="E40" s="29"/>
      <c r="F40" s="30"/>
      <c r="G40" s="29"/>
      <c r="H40" s="30"/>
      <c r="I40" s="31" t="str">
        <f t="shared" si="3"/>
        <v/>
      </c>
      <c r="J40" s="17"/>
      <c r="K40" s="3"/>
      <c r="L40" s="3"/>
      <c r="M40" s="13">
        <v>1</v>
      </c>
      <c r="N40" s="5" t="str">
        <f>IFERROR(VLOOKUP($C40,休日!$A:$B,2,FALSE),"")</f>
        <v/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hidden="1" customHeight="1" outlineLevel="1">
      <c r="A41" s="3"/>
      <c r="B41" s="18" t="str">
        <f t="shared" si="0"/>
        <v/>
      </c>
      <c r="C41" s="19" t="str">
        <f t="shared" si="1"/>
        <v/>
      </c>
      <c r="D41" s="20" t="str">
        <f t="shared" si="2"/>
        <v/>
      </c>
      <c r="E41" s="21"/>
      <c r="F41" s="22"/>
      <c r="G41" s="21"/>
      <c r="H41" s="22"/>
      <c r="I41" s="23" t="str">
        <f t="shared" si="3"/>
        <v/>
      </c>
      <c r="J41" s="24"/>
      <c r="K41" s="3"/>
      <c r="L41" s="3"/>
      <c r="M41" s="13">
        <v>1</v>
      </c>
      <c r="N41" s="5" t="str">
        <f>IFERROR(VLOOKUP($C41,休日!$A:$B,2,FALSE),"")</f>
        <v/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hidden="1" customHeight="1" outlineLevel="1">
      <c r="A42" s="3"/>
      <c r="B42" s="8" t="str">
        <f t="shared" si="0"/>
        <v/>
      </c>
      <c r="C42" s="9" t="str">
        <f t="shared" si="1"/>
        <v/>
      </c>
      <c r="D42" s="10" t="str">
        <f t="shared" si="2"/>
        <v/>
      </c>
      <c r="E42" s="25"/>
      <c r="F42" s="26"/>
      <c r="G42" s="25"/>
      <c r="H42" s="26"/>
      <c r="I42" s="11" t="str">
        <f t="shared" si="3"/>
        <v/>
      </c>
      <c r="J42" s="12"/>
      <c r="K42" s="3"/>
      <c r="L42" s="3"/>
      <c r="M42" s="13">
        <v>1</v>
      </c>
      <c r="N42" s="5" t="str">
        <f>IFERROR(VLOOKUP($C42,休日!$A:$B,2,FALSE),"")</f>
        <v/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hidden="1" customHeight="1" outlineLevel="1">
      <c r="A43" s="3"/>
      <c r="B43" s="8" t="str">
        <f t="shared" si="0"/>
        <v/>
      </c>
      <c r="C43" s="9" t="str">
        <f t="shared" si="1"/>
        <v/>
      </c>
      <c r="D43" s="10" t="str">
        <f t="shared" si="2"/>
        <v/>
      </c>
      <c r="E43" s="25"/>
      <c r="F43" s="26"/>
      <c r="G43" s="25"/>
      <c r="H43" s="26"/>
      <c r="I43" s="11" t="str">
        <f t="shared" si="3"/>
        <v/>
      </c>
      <c r="J43" s="12"/>
      <c r="K43" s="3"/>
      <c r="L43" s="3"/>
      <c r="M43" s="13">
        <v>1</v>
      </c>
      <c r="N43" s="5" t="str">
        <f>IFERROR(VLOOKUP($C43,休日!$A:$B,2,FALSE),"")</f>
        <v/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hidden="1" customHeight="1" outlineLevel="1">
      <c r="A44" s="3"/>
      <c r="B44" s="8" t="str">
        <f t="shared" si="0"/>
        <v/>
      </c>
      <c r="C44" s="9" t="str">
        <f t="shared" si="1"/>
        <v/>
      </c>
      <c r="D44" s="10" t="str">
        <f t="shared" si="2"/>
        <v/>
      </c>
      <c r="E44" s="25"/>
      <c r="F44" s="26"/>
      <c r="G44" s="25"/>
      <c r="H44" s="26"/>
      <c r="I44" s="11" t="str">
        <f t="shared" si="3"/>
        <v/>
      </c>
      <c r="J44" s="12"/>
      <c r="K44" s="3"/>
      <c r="L44" s="3"/>
      <c r="M44" s="13">
        <v>1</v>
      </c>
      <c r="N44" s="5" t="str">
        <f>IFERROR(VLOOKUP($C44,休日!$A:$B,2,FALSE),"")</f>
        <v/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hidden="1" customHeight="1" outlineLevel="1">
      <c r="A45" s="3"/>
      <c r="B45" s="8" t="str">
        <f t="shared" si="0"/>
        <v/>
      </c>
      <c r="C45" s="9" t="str">
        <f t="shared" si="1"/>
        <v/>
      </c>
      <c r="D45" s="10" t="str">
        <f t="shared" si="2"/>
        <v/>
      </c>
      <c r="E45" s="25"/>
      <c r="F45" s="26"/>
      <c r="G45" s="25"/>
      <c r="H45" s="26"/>
      <c r="I45" s="11" t="str">
        <f t="shared" si="3"/>
        <v/>
      </c>
      <c r="J45" s="12"/>
      <c r="K45" s="3"/>
      <c r="L45" s="3"/>
      <c r="M45" s="13">
        <v>1</v>
      </c>
      <c r="N45" s="5" t="str">
        <f>IFERROR(VLOOKUP($C45,休日!$A:$B,2,FALSE),"")</f>
        <v/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hidden="1" customHeight="1" outlineLevel="1">
      <c r="A46" s="3"/>
      <c r="B46" s="8" t="str">
        <f t="shared" si="0"/>
        <v/>
      </c>
      <c r="C46" s="9" t="str">
        <f t="shared" si="1"/>
        <v/>
      </c>
      <c r="D46" s="10" t="str">
        <f t="shared" si="2"/>
        <v/>
      </c>
      <c r="E46" s="25"/>
      <c r="F46" s="26"/>
      <c r="G46" s="25"/>
      <c r="H46" s="26"/>
      <c r="I46" s="11" t="str">
        <f t="shared" si="3"/>
        <v/>
      </c>
      <c r="J46" s="12"/>
      <c r="K46" s="3"/>
      <c r="L46" s="3"/>
      <c r="M46" s="13">
        <v>1</v>
      </c>
      <c r="N46" s="5" t="str">
        <f>IFERROR(VLOOKUP($C46,休日!$A:$B,2,FALSE),"")</f>
        <v/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hidden="1" customHeight="1" outlineLevel="1">
      <c r="A47" s="3"/>
      <c r="B47" s="8" t="str">
        <f t="shared" si="0"/>
        <v/>
      </c>
      <c r="C47" s="9" t="str">
        <f t="shared" si="1"/>
        <v/>
      </c>
      <c r="D47" s="10" t="str">
        <f t="shared" si="2"/>
        <v/>
      </c>
      <c r="E47" s="25"/>
      <c r="F47" s="26"/>
      <c r="G47" s="25"/>
      <c r="H47" s="26"/>
      <c r="I47" s="11" t="str">
        <f t="shared" si="3"/>
        <v/>
      </c>
      <c r="J47" s="12"/>
      <c r="K47" s="3"/>
      <c r="L47" s="3"/>
      <c r="M47" s="13">
        <v>1</v>
      </c>
      <c r="N47" s="5" t="str">
        <f>IFERROR(VLOOKUP($C47,休日!$A:$B,2,FALSE),"")</f>
        <v/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hidden="1" customHeight="1" outlineLevel="1">
      <c r="A48" s="3"/>
      <c r="B48" s="8" t="str">
        <f t="shared" si="0"/>
        <v/>
      </c>
      <c r="C48" s="9" t="str">
        <f t="shared" si="1"/>
        <v/>
      </c>
      <c r="D48" s="10" t="str">
        <f t="shared" si="2"/>
        <v/>
      </c>
      <c r="E48" s="25"/>
      <c r="F48" s="26"/>
      <c r="G48" s="25"/>
      <c r="H48" s="26"/>
      <c r="I48" s="11" t="str">
        <f t="shared" si="3"/>
        <v/>
      </c>
      <c r="J48" s="12"/>
      <c r="K48" s="3"/>
      <c r="L48" s="3"/>
      <c r="M48" s="13">
        <v>1</v>
      </c>
      <c r="N48" s="5" t="str">
        <f>IFERROR(VLOOKUP($C48,休日!$A:$B,2,FALSE),"")</f>
        <v/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hidden="1" customHeight="1" outlineLevel="1">
      <c r="A49" s="3"/>
      <c r="B49" s="8" t="str">
        <f t="shared" si="0"/>
        <v/>
      </c>
      <c r="C49" s="9" t="str">
        <f t="shared" si="1"/>
        <v/>
      </c>
      <c r="D49" s="10" t="str">
        <f t="shared" si="2"/>
        <v/>
      </c>
      <c r="E49" s="25"/>
      <c r="F49" s="26"/>
      <c r="G49" s="25"/>
      <c r="H49" s="26"/>
      <c r="I49" s="11" t="str">
        <f t="shared" si="3"/>
        <v/>
      </c>
      <c r="J49" s="12"/>
      <c r="K49" s="3"/>
      <c r="L49" s="3"/>
      <c r="M49" s="13">
        <v>1</v>
      </c>
      <c r="N49" s="5" t="str">
        <f>IFERROR(VLOOKUP($C49,休日!$A:$B,2,FALSE),"")</f>
        <v/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hidden="1" customHeight="1" outlineLevel="1">
      <c r="A50" s="3"/>
      <c r="B50" s="8" t="str">
        <f t="shared" si="0"/>
        <v/>
      </c>
      <c r="C50" s="9" t="str">
        <f t="shared" si="1"/>
        <v/>
      </c>
      <c r="D50" s="10" t="str">
        <f t="shared" si="2"/>
        <v/>
      </c>
      <c r="E50" s="25"/>
      <c r="F50" s="26"/>
      <c r="G50" s="25"/>
      <c r="H50" s="26"/>
      <c r="I50" s="11" t="str">
        <f t="shared" si="3"/>
        <v/>
      </c>
      <c r="J50" s="12"/>
      <c r="K50" s="3"/>
      <c r="L50" s="3"/>
      <c r="M50" s="13">
        <v>1</v>
      </c>
      <c r="N50" s="5" t="str">
        <f>IFERROR(VLOOKUP($C50,休日!$A:$B,2,FALSE),"")</f>
        <v/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collapsed="1" thickTop="1" thickBot="1">
      <c r="A51" s="3"/>
      <c r="B51" s="52" t="s">
        <v>15</v>
      </c>
      <c r="C51" s="53"/>
      <c r="D51" s="53"/>
      <c r="E51" s="53"/>
      <c r="F51" s="53"/>
      <c r="G51" s="53"/>
      <c r="H51" s="54"/>
      <c r="I51" s="40">
        <f>SUM(I10:I50)</f>
        <v>0</v>
      </c>
      <c r="J51" s="27"/>
      <c r="K51" s="3"/>
      <c r="L51" s="3"/>
      <c r="M51" s="1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.75" customHeight="1" thickTop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8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8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8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8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8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8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8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8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8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8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8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8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8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8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8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8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8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8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8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8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8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8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8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8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8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8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8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8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8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8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8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8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8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8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8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8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8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8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8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8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8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8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8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8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8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8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8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8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8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8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8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8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8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8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8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8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8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8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8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8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8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8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8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8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8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8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8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8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8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8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8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8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8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8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8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8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8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8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8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8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8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8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8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8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8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8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8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8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8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8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8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8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8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8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8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8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8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8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8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8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8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8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8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8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8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8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8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8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8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8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8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8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8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8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8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8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8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8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8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8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8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8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8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8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8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8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8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8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8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8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8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8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8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8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8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8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8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8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8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8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8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8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8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8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8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8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8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8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8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8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8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8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8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8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8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8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8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8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8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8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8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8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8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8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8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8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8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8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8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8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8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8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8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8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8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8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8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8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8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8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8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8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8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8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8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8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8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8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8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8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8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8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8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8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8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8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8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8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8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8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8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8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8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8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8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8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8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8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8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8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8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8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8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8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8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8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8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8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8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8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8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8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8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8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8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8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8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8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8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8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8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8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8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8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8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8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8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8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8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8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8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8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8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8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8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8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8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8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8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8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8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8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8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8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8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8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8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8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8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8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8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8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8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8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8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8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8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8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8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8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8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8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8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8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8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8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8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8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8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8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8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8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8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8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8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8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8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8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8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8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8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8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8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8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8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8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8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8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8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8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8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8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8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8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8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8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8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8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8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8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8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8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8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8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8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8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8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8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8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8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8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8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8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8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8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8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8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8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8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8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8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8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8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8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8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8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8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8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8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8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8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8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8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8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8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8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8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8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8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8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8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8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8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8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8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8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8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8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8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8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8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8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8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8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8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8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8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8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8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8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8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8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8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8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8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8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8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8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8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8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8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8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8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8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8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8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8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8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8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8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8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8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8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8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8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8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8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8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8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8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8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8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8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8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8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8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8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8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8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8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8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8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8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8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8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8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8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8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8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8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8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8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8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8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8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8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8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8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8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8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8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8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8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8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8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8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8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8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8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8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8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8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8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8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8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8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8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8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8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8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8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8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8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8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8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8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8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8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8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8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8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8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8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8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8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8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8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8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8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8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8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8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8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8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8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8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8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8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8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8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8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8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8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8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8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8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8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8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8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8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8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8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8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8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8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8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8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8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8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8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8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8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8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8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8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8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8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8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8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8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8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8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8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8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8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8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8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8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8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8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8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8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8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8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8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8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8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8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8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8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8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8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8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8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8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8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8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8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8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8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8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8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8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8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8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8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8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8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8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8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8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8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8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8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8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8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8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8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8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8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8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8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8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8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8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8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8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8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8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8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8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8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8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8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8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8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8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8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8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8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8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8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8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8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8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8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8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8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8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8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8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8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8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8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8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8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8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8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8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8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8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8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8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8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8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8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8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8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8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8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8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8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8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8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8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8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8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8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8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8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8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8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8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8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8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8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8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8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8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8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8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8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8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8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8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8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8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8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8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8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8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8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8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8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8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8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8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8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8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8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8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8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8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8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8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8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8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8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8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8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8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8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8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8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8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8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8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8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8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8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8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8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8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8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8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8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8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8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8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8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8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8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8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8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8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8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8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8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8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8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8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8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8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8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8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8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8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8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8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8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8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8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8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8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8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8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8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8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8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8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8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8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8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8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8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8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8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8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8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8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8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8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8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8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8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8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8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8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8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8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8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8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8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8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8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8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8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8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8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8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8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8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8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8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8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8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8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8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8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8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8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8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8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8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8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8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8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8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8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8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8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8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8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8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8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8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8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8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8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8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8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8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8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8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8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8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8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8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8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8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8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8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8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8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8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8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8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8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8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8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8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8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8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8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8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8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8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8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8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8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8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8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8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8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8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8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8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8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8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8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8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8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8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8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8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8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8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8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8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8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8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8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8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8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8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8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8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8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8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8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8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8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8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8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8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8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8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8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8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8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8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8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8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8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8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8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8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8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8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8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8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8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8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8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8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8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8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8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8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8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8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8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8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8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8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8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8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8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8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8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8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8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8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8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8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8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8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8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8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8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8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8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8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8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8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8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8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8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8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8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8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8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8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8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8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8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8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8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8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8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8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8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8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8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8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8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8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8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8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8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8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8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8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8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8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8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8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8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8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8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8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8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8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8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8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8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8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8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8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8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8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8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3">
    <mergeCell ref="B51:H51"/>
    <mergeCell ref="B1:I1"/>
    <mergeCell ref="B2:D2"/>
    <mergeCell ref="E2:I2"/>
    <mergeCell ref="B4:D4"/>
    <mergeCell ref="E4:I4"/>
    <mergeCell ref="B6:D6"/>
    <mergeCell ref="E6:G6"/>
    <mergeCell ref="B8:D8"/>
    <mergeCell ref="E8:F8"/>
    <mergeCell ref="G8:H8"/>
    <mergeCell ref="I8:I9"/>
    <mergeCell ref="J8:J9"/>
  </mergeCells>
  <phoneticPr fontId="2"/>
  <conditionalFormatting sqref="B10:J50">
    <cfRule type="expression" dxfId="0" priority="1" stopIfTrue="1">
      <formula>OR(WEEKDAY($D10,2)=7,WEEKDAY($D10,2)=6,$N10&lt;&gt;"")</formula>
    </cfRule>
  </conditionalFormatting>
  <pageMargins left="0.59055118110236227" right="0.19685039370078741" top="0.39370078740157483" bottom="0.19685039370078741" header="0" footer="0"/>
  <pageSetup paperSize="9" scale="86" orientation="portrait" r:id="rId1"/>
  <headerFooter>
    <oddHeader>&amp;C作 業 実 施 報 告 書&amp;R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D11" sqref="D11"/>
    </sheetView>
  </sheetViews>
  <sheetFormatPr defaultColWidth="14.33203125" defaultRowHeight="15" customHeight="1"/>
  <cols>
    <col min="1" max="26" width="8.77734375" customWidth="1"/>
  </cols>
  <sheetData>
    <row r="1" spans="1:26" ht="18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.75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.75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customHeight="1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.75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8.75" customHeight="1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8.75" customHeight="1">
      <c r="A9" s="1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8.75" customHeight="1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8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8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8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8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8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8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8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8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8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8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8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8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8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8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8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8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8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8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8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8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8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8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8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8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8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8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8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8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8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8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8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8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8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8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8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8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8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8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8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8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8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8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8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8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8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8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8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8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8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8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8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8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8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8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8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8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8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8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8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8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8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8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8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8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8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8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8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8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8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8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8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8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8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8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8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8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8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8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8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8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8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8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8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8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8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8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8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8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8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8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8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8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8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8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8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8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8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8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8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8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8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8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8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8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8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8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8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8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8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8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8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8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8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8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8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8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8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8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8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8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8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8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8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8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8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8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8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8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8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8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8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8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8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8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8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8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8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8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8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8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8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8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8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8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8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8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8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8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8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8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8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8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8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8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8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8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8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8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8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8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8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8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8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8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8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8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8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8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8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8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8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8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8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8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8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8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8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8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8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8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8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8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8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8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8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8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8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8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8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8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8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8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8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8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8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8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8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8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8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8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8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8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8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8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8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8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8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8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8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8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8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8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8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8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8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8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8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8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8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8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8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8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8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8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8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8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8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8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8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8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8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8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8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8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8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8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8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8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8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8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8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8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8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8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8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8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8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8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8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8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8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8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8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8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8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8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8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8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8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8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8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8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8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8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8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8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8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8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8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8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8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8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8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8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8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8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8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8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8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8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8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8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8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8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8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8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8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8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8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8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8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8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8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8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8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8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8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8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8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8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8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8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8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8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8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8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8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8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8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8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8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8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8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8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8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8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8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8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8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8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8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8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8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8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8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8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8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8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8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8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8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8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8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8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8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8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8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8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8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8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8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8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8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8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8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8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8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8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8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8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8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8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8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8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8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8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8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8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8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8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8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8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8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8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8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8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8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8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8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8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8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8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8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8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8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8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8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8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8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8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8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8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8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8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8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8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8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8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8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8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8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8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8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8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8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8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8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8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8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8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8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8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8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8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8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8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8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8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8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8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8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8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8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8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8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8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8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8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8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8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8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8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8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8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8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8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8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8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8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8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8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8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8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8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8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8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8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8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8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8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8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8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8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8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8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8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8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8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8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8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8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8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8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8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8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8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8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8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8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8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8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8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8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8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8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8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8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8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8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8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8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8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8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8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8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8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8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8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8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8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8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8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8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8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8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8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8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8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8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8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8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8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8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8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8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8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8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8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8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8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8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8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8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8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8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8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8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8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8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8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8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8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8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8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8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8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8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8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8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8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8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8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8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8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8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8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8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8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8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8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8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8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8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8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8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8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8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8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8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8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8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8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8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8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8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8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8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8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8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8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8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8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8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8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8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8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8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8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8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8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8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8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8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8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8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8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8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8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8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8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8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8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8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8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8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8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8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8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8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8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8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8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8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8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8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8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8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8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8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8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8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8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8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8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8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8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8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8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8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8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8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8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8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8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8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8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8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8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8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8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8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8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8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8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8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8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8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8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8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8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8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8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8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8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8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8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8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8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8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8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8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8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8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8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8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8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8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8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8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8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8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8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8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8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8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8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8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8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8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8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8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8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8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8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8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8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8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8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8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8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8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8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8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8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8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8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8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8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8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8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8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8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8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8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8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8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8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8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8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8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8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8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8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8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8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8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8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8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8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8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8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8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8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8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8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8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8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8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8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8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8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8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8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8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8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8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8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8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8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8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8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8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8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8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8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8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8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8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8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8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8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8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8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8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8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8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8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8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8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8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8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8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8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8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8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8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8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8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8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8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8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8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8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8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8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8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8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8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8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8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8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8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8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8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8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8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8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8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8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8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8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8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8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8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8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8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8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8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8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8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8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8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8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8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8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8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8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8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8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8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8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8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8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8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8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8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8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8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8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8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8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8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8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8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8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8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8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8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8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8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8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8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8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8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8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8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8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8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2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30</vt:i4>
      </vt:variant>
    </vt:vector>
  </HeadingPairs>
  <TitlesOfParts>
    <vt:vector size="34" baseType="lpstr">
      <vt:lpstr>原本_コピーして使用</vt:lpstr>
      <vt:lpstr>記入例</vt:lpstr>
      <vt:lpstr>作業報告書_4月度</vt:lpstr>
      <vt:lpstr>休日</vt:lpstr>
      <vt:lpstr>記入例!Z_048AB57F_E1E1_41E9_9B99_92F1C4758322_.wvu.PrintArea</vt:lpstr>
      <vt:lpstr>原本_コピーして使用!Z_048AB57F_E1E1_41E9_9B99_92F1C4758322_.wvu.PrintArea</vt:lpstr>
      <vt:lpstr>作業報告書_4月度!Z_048AB57F_E1E1_41E9_9B99_92F1C4758322_.wvu.PrintArea</vt:lpstr>
      <vt:lpstr>記入例!Z_294445C2_7D40_44E5_AADD_F3485C826AA5_.wvu.PrintArea</vt:lpstr>
      <vt:lpstr>原本_コピーして使用!Z_294445C2_7D40_44E5_AADD_F3485C826AA5_.wvu.PrintArea</vt:lpstr>
      <vt:lpstr>作業報告書_4月度!Z_294445C2_7D40_44E5_AADD_F3485C826AA5_.wvu.PrintArea</vt:lpstr>
      <vt:lpstr>記入例!Z_54912BE1_3F15_4054_B1E9_40F514BC45C4_.wvu.PrintArea</vt:lpstr>
      <vt:lpstr>原本_コピーして使用!Z_54912BE1_3F15_4054_B1E9_40F514BC45C4_.wvu.PrintArea</vt:lpstr>
      <vt:lpstr>作業報告書_4月度!Z_54912BE1_3F15_4054_B1E9_40F514BC45C4_.wvu.PrintArea</vt:lpstr>
      <vt:lpstr>記入例!Z_57B64D90_376F_43C6_9ACE_ECF80F74D4A7_.wvu.PrintArea</vt:lpstr>
      <vt:lpstr>原本_コピーして使用!Z_57B64D90_376F_43C6_9ACE_ECF80F74D4A7_.wvu.PrintArea</vt:lpstr>
      <vt:lpstr>作業報告書_4月度!Z_57B64D90_376F_43C6_9ACE_ECF80F74D4A7_.wvu.PrintArea</vt:lpstr>
      <vt:lpstr>記入例!Z_5C2591B1_BBB1_4B22_AFE9_8CEDB703118D_.wvu.PrintArea</vt:lpstr>
      <vt:lpstr>原本_コピーして使用!Z_5C2591B1_BBB1_4B22_AFE9_8CEDB703118D_.wvu.PrintArea</vt:lpstr>
      <vt:lpstr>作業報告書_4月度!Z_5C2591B1_BBB1_4B22_AFE9_8CEDB703118D_.wvu.PrintArea</vt:lpstr>
      <vt:lpstr>記入例!Z_691297F4_F9DF_429F_ABA3_2A3C76D272F2_.wvu.PrintArea</vt:lpstr>
      <vt:lpstr>原本_コピーして使用!Z_691297F4_F9DF_429F_ABA3_2A3C76D272F2_.wvu.PrintArea</vt:lpstr>
      <vt:lpstr>作業報告書_4月度!Z_691297F4_F9DF_429F_ABA3_2A3C76D272F2_.wvu.PrintArea</vt:lpstr>
      <vt:lpstr>記入例!Z_88240138_76DD_4361_A3CB_47EAFCB84DB4_.wvu.PrintArea</vt:lpstr>
      <vt:lpstr>原本_コピーして使用!Z_88240138_76DD_4361_A3CB_47EAFCB84DB4_.wvu.PrintArea</vt:lpstr>
      <vt:lpstr>作業報告書_4月度!Z_88240138_76DD_4361_A3CB_47EAFCB84DB4_.wvu.PrintArea</vt:lpstr>
      <vt:lpstr>記入例!Z_9EF46FAE_E0C2_4DF7_AF5F_D8816540344F_.wvu.PrintArea</vt:lpstr>
      <vt:lpstr>原本_コピーして使用!Z_9EF46FAE_E0C2_4DF7_AF5F_D8816540344F_.wvu.PrintArea</vt:lpstr>
      <vt:lpstr>作業報告書_4月度!Z_9EF46FAE_E0C2_4DF7_AF5F_D8816540344F_.wvu.PrintArea</vt:lpstr>
      <vt:lpstr>記入例!Z_CB28E8C4_C2A5_4046_BDAC_2A3E8E88B286_.wvu.PrintArea</vt:lpstr>
      <vt:lpstr>原本_コピーして使用!Z_CB28E8C4_C2A5_4046_BDAC_2A3E8E88B286_.wvu.PrintArea</vt:lpstr>
      <vt:lpstr>作業報告書_4月度!Z_CB28E8C4_C2A5_4046_BDAC_2A3E8E88B286_.wvu.PrintArea</vt:lpstr>
      <vt:lpstr>記入例!Z_EB74BBFE_ECBA_4A3E_B663_A6CD143EF60A_.wvu.PrintArea</vt:lpstr>
      <vt:lpstr>原本_コピーして使用!Z_EB74BBFE_ECBA_4A3E_B663_A6CD143EF60A_.wvu.PrintArea</vt:lpstr>
      <vt:lpstr>作業報告書_4月度!Z_EB74BBFE_ECBA_4A3E_B663_A6CD143EF60A_.wvu.PrintArea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若林　　浩司</dc:creator>
  <cp:lastModifiedBy>優樹 黒岩</cp:lastModifiedBy>
  <cp:lastPrinted>2026-04-03T02:29:18Z</cp:lastPrinted>
  <dcterms:created xsi:type="dcterms:W3CDTF">2003-02-07T04:14:16Z</dcterms:created>
  <dcterms:modified xsi:type="dcterms:W3CDTF">2026-04-03T03:15:01Z</dcterms:modified>
</cp:coreProperties>
</file>